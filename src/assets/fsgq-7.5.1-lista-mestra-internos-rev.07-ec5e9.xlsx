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Q:\SGQ PSC\7.5 Informação Documentada\FSGQ - 7.5.1 - Lista mestra\01 - Registros\"/>
    </mc:Choice>
  </mc:AlternateContent>
  <xr:revisionPtr revIDLastSave="0" documentId="13_ncr:1_{80CA28B7-C17C-4E40-948B-57DD6645523E}" xr6:coauthVersionLast="36" xr6:coauthVersionMax="47" xr10:uidLastSave="{00000000-0000-0000-0000-000000000000}"/>
  <bookViews>
    <workbookView xWindow="-105" yWindow="-105" windowWidth="23250" windowHeight="12450" firstSheet="1" activeTab="1" xr2:uid="{00000000-000D-0000-FFFF-FFFF00000000}"/>
  </bookViews>
  <sheets>
    <sheet name="LME" sheetId="1" state="hidden" r:id="rId1"/>
    <sheet name="LM" sheetId="2" r:id="rId2"/>
    <sheet name="MAPEAMENTO" sheetId="5" r:id="rId3"/>
    <sheet name="GERAL - SERVIÇOS SISTEMAS." sheetId="3" state="hidden" r:id="rId4"/>
    <sheet name="GERAL - SERVIÇOS SISTEMAS" sheetId="4" state="hidden" r:id="rId5"/>
  </sheets>
  <definedNames>
    <definedName name="_xlnm._FilterDatabase" localSheetId="4" hidden="1">'GERAL - SERVIÇOS SISTEMAS'!$A$2:$J$35</definedName>
    <definedName name="_xlnm._FilterDatabase" localSheetId="3" hidden="1">'GERAL - SERVIÇOS SISTEMAS.'!$A$2:$K$35</definedName>
    <definedName name="_xlnm._FilterDatabase" localSheetId="1" hidden="1">LM!$A$6:$T$241</definedName>
    <definedName name="_xlnm._FilterDatabase" localSheetId="0" hidden="1">LME!$A$2:$H$180</definedName>
    <definedName name="_xlnm.Print_Area" localSheetId="1">LM!$A$1:$T$239</definedName>
  </definedNames>
  <calcPr calcId="191029"/>
</workbook>
</file>

<file path=xl/calcChain.xml><?xml version="1.0" encoding="utf-8"?>
<calcChain xmlns="http://schemas.openxmlformats.org/spreadsheetml/2006/main">
  <c r="I177" i="2" l="1"/>
  <c r="I158" i="2" l="1"/>
  <c r="I99" i="2" l="1"/>
  <c r="I197" i="2" l="1"/>
  <c r="I192" i="2"/>
  <c r="I210" i="2"/>
  <c r="I28" i="2" l="1"/>
  <c r="I29" i="2" l="1"/>
  <c r="I85" i="2"/>
  <c r="I105" i="2"/>
  <c r="I104" i="2"/>
  <c r="I107" i="2"/>
  <c r="I135" i="2" l="1"/>
  <c r="I124" i="2" l="1"/>
  <c r="I96" i="2" l="1"/>
  <c r="I88" i="2"/>
  <c r="I40" i="2" l="1"/>
  <c r="I101" i="2" l="1"/>
  <c r="I64" i="2" l="1"/>
  <c r="I110" i="2" l="1"/>
  <c r="I97" i="2" l="1"/>
  <c r="I98" i="2"/>
  <c r="I222" i="2" l="1"/>
  <c r="I81" i="2" l="1"/>
  <c r="I176" i="2" l="1"/>
  <c r="I140" i="2" l="1"/>
  <c r="I223" i="2" l="1"/>
  <c r="I53" i="2" l="1"/>
  <c r="I20" i="2" l="1"/>
  <c r="I63" i="2" l="1"/>
  <c r="I113" i="2" l="1"/>
  <c r="I125" i="2" l="1"/>
  <c r="I94" i="2"/>
  <c r="I44" i="2" l="1"/>
  <c r="I166" i="2" l="1"/>
  <c r="I193" i="2"/>
  <c r="I184" i="2"/>
  <c r="I179" i="2"/>
  <c r="I173" i="2"/>
  <c r="I160" i="2"/>
  <c r="I120" i="2"/>
  <c r="I95" i="2"/>
  <c r="I92" i="2"/>
  <c r="I83" i="2"/>
  <c r="I82" i="2"/>
  <c r="I70" i="2"/>
  <c r="I46" i="2"/>
  <c r="I45" i="2"/>
  <c r="I240" i="2"/>
  <c r="I241" i="2"/>
  <c r="I48" i="2" l="1"/>
  <c r="I175" i="2" l="1"/>
  <c r="I239" i="2" l="1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1" i="2"/>
  <c r="I220" i="2"/>
  <c r="I219" i="2"/>
  <c r="I218" i="2"/>
  <c r="I217" i="2"/>
  <c r="I216" i="2"/>
  <c r="I215" i="2"/>
  <c r="I214" i="2"/>
  <c r="I213" i="2"/>
  <c r="I212" i="2"/>
  <c r="I211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6" i="2"/>
  <c r="I195" i="2"/>
  <c r="I194" i="2"/>
  <c r="I191" i="2"/>
  <c r="I190" i="2"/>
  <c r="I189" i="2"/>
  <c r="I188" i="2"/>
  <c r="I187" i="2"/>
  <c r="I186" i="2"/>
  <c r="I185" i="2"/>
  <c r="I183" i="2"/>
  <c r="I182" i="2"/>
  <c r="I181" i="2"/>
  <c r="I180" i="2"/>
  <c r="I178" i="2"/>
  <c r="I174" i="2"/>
  <c r="I172" i="2"/>
  <c r="I171" i="2"/>
  <c r="I170" i="2"/>
  <c r="I169" i="2"/>
  <c r="I168" i="2"/>
  <c r="I167" i="2"/>
  <c r="I165" i="2"/>
  <c r="I164" i="2"/>
  <c r="I163" i="2"/>
  <c r="I162" i="2"/>
  <c r="I161" i="2"/>
  <c r="I159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39" i="2"/>
  <c r="I138" i="2"/>
  <c r="I137" i="2"/>
  <c r="I136" i="2"/>
  <c r="I134" i="2"/>
  <c r="I133" i="2"/>
  <c r="I132" i="2"/>
  <c r="I131" i="2"/>
  <c r="I130" i="2"/>
  <c r="I129" i="2"/>
  <c r="I128" i="2"/>
  <c r="I127" i="2"/>
  <c r="I126" i="2"/>
  <c r="I123" i="2"/>
  <c r="I122" i="2"/>
  <c r="I77" i="2"/>
  <c r="I119" i="2"/>
  <c r="I118" i="2"/>
  <c r="I117" i="2"/>
  <c r="I116" i="2"/>
  <c r="I115" i="2"/>
  <c r="I114" i="2"/>
  <c r="I112" i="2"/>
  <c r="I111" i="2"/>
  <c r="I109" i="2"/>
  <c r="I108" i="2"/>
  <c r="I106" i="2"/>
  <c r="I103" i="2"/>
  <c r="I102" i="2"/>
  <c r="I100" i="2"/>
  <c r="I93" i="2"/>
  <c r="I91" i="2"/>
  <c r="I90" i="2"/>
  <c r="I89" i="2"/>
  <c r="I87" i="2"/>
  <c r="I86" i="2"/>
  <c r="I84" i="2"/>
  <c r="I80" i="2"/>
  <c r="I79" i="2"/>
  <c r="I78" i="2"/>
  <c r="I76" i="2"/>
  <c r="I75" i="2"/>
  <c r="I74" i="2"/>
  <c r="I73" i="2"/>
  <c r="I72" i="2"/>
  <c r="I71" i="2"/>
  <c r="I69" i="2"/>
  <c r="I68" i="2"/>
  <c r="I67" i="2"/>
  <c r="I66" i="2"/>
  <c r="I65" i="2"/>
  <c r="I62" i="2"/>
  <c r="I61" i="2"/>
  <c r="I60" i="2"/>
  <c r="I59" i="2"/>
  <c r="I58" i="2"/>
  <c r="I57" i="2"/>
  <c r="I56" i="2"/>
  <c r="I55" i="2"/>
  <c r="I54" i="2"/>
  <c r="I52" i="2"/>
  <c r="I51" i="2"/>
  <c r="I50" i="2"/>
  <c r="I49" i="2"/>
  <c r="I47" i="2"/>
  <c r="I43" i="2"/>
  <c r="I42" i="2"/>
  <c r="I41" i="2"/>
  <c r="I39" i="2"/>
  <c r="I38" i="2"/>
  <c r="I37" i="2"/>
  <c r="I36" i="2"/>
  <c r="I35" i="2"/>
  <c r="I34" i="2"/>
  <c r="I33" i="2"/>
  <c r="I32" i="2"/>
  <c r="I31" i="2"/>
  <c r="I30" i="2"/>
  <c r="I27" i="2"/>
  <c r="I26" i="2"/>
  <c r="I25" i="2"/>
  <c r="I24" i="2"/>
  <c r="I23" i="2"/>
  <c r="I22" i="2"/>
  <c r="I21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C7" i="5" l="1"/>
  <c r="C6" i="5"/>
  <c r="C5" i="5"/>
  <c r="C4" i="5"/>
  <c r="B10" i="5" l="1"/>
  <c r="M6" i="2" l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Roberta Junqueira</author>
    <author>Dainara Jesus</author>
  </authors>
  <commentList>
    <comment ref="Y1" authorId="0" shapeId="0" xr:uid="{3E1E451A-825D-4D51-A8DC-4A6C2CFF9183}">
      <text>
        <r>
          <rPr>
            <b/>
            <sz val="12"/>
            <color indexed="81"/>
            <rFont val="Arial"/>
            <family val="2"/>
          </rPr>
          <t>Colocar: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Arial"/>
            <family val="2"/>
          </rPr>
          <t>Data de Aprovação Rev x: xx/xx/xxxx
Em Arial 12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8" authorId="1" shapeId="0" xr:uid="{023BCFD6-5B8E-4F7F-A0EB-927CD4601BAC}">
      <text>
        <r>
          <rPr>
            <b/>
            <sz val="9"/>
            <color indexed="81"/>
            <rFont val="Segoe UI"/>
            <family val="2"/>
          </rPr>
          <t>Data de aprovaçãso;
05/06/2023</t>
        </r>
      </text>
    </comment>
    <comment ref="H59" authorId="1" shapeId="0" xr:uid="{65786989-B7A6-4CA5-9A39-219BF4DBFC66}">
      <text>
        <r>
          <rPr>
            <b/>
            <sz val="9"/>
            <color indexed="81"/>
            <rFont val="Segoe UI"/>
            <family val="2"/>
          </rPr>
          <t>data de aprovação:
05/06/2023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86" authorId="0" shapeId="0" xr:uid="{E7734FBF-81B3-4175-BB64-6FFED6F37541}">
      <text>
        <r>
          <rPr>
            <sz val="12"/>
            <color indexed="81"/>
            <rFont val="Arial"/>
            <family val="2"/>
          </rPr>
          <t>Data de Aprovação Rev 4: 02/02/2024</t>
        </r>
      </text>
    </comment>
    <comment ref="H93" authorId="0" shapeId="0" xr:uid="{0896F864-1F3D-4042-B183-18AC7792CDDF}">
      <text>
        <r>
          <rPr>
            <sz val="12"/>
            <color indexed="81"/>
            <rFont val="Arial"/>
            <family val="2"/>
          </rPr>
          <t>Data de Aprovação Rev.02: 25/10/2023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30" authorId="0" shapeId="0" xr:uid="{8C315BDD-EE71-4EAF-98FE-6B60513B483A}">
      <text>
        <r>
          <rPr>
            <b/>
            <sz val="12"/>
            <color indexed="81"/>
            <rFont val="Arial"/>
            <family val="2"/>
          </rPr>
          <t>Data de Aprovação Rev 1: 17/05/2024</t>
        </r>
      </text>
    </comment>
    <comment ref="H143" authorId="0" shapeId="0" xr:uid="{F865221F-4E0C-4EE2-94C7-C49C8C0B2FA0}">
      <text>
        <r>
          <rPr>
            <sz val="12"/>
            <color indexed="81"/>
            <rFont val="Arial"/>
            <family val="2"/>
          </rPr>
          <t>Data de Aprovação Rev 0: 08/11/2021</t>
        </r>
      </text>
    </comment>
  </commentList>
</comments>
</file>

<file path=xl/sharedStrings.xml><?xml version="1.0" encoding="utf-8"?>
<sst xmlns="http://schemas.openxmlformats.org/spreadsheetml/2006/main" count="2954" uniqueCount="885">
  <si>
    <t>PST/ SUP</t>
  </si>
  <si>
    <t>PST</t>
  </si>
  <si>
    <t>SUP</t>
  </si>
  <si>
    <t>FSGQ.7.5.1 – LM1 - LISTA MESTRA 
Data da revisão: 29/08/2024
R03</t>
  </si>
  <si>
    <t>TIPO</t>
  </si>
  <si>
    <t>ITEM</t>
  </si>
  <si>
    <t>IDENTIFICAÇÃO</t>
  </si>
  <si>
    <t>REVISADO?</t>
  </si>
  <si>
    <t xml:space="preserve">N° REVISÃO </t>
  </si>
  <si>
    <t xml:space="preserve">DATA </t>
  </si>
  <si>
    <t>SETOR</t>
  </si>
  <si>
    <t>OBSERVAÇÕES</t>
  </si>
  <si>
    <t>MSGQ</t>
  </si>
  <si>
    <t>MANUAL DO SISTEMA DE GESTÃO DE QUALIDADE</t>
  </si>
  <si>
    <t>SIM</t>
  </si>
  <si>
    <t>09.10.2023</t>
  </si>
  <si>
    <t>GQ</t>
  </si>
  <si>
    <t>PSGQ</t>
  </si>
  <si>
    <t>5.0</t>
  </si>
  <si>
    <t>RESPONSABILIDADE DA DIREÇÃO</t>
  </si>
  <si>
    <t>NÃO</t>
  </si>
  <si>
    <t>08.11.21</t>
  </si>
  <si>
    <t>ADM/GQ</t>
  </si>
  <si>
    <t>LEGENDA</t>
  </si>
  <si>
    <t>5.1</t>
  </si>
  <si>
    <t>GERENCIAMENTO DE RISCOS E CONTIGÊNCIAS</t>
  </si>
  <si>
    <t>ITSGQ</t>
  </si>
  <si>
    <t>FSGQ</t>
  </si>
  <si>
    <t>5.0.1</t>
  </si>
  <si>
    <t>ATA DE ANÁLISE</t>
  </si>
  <si>
    <t>28.08.2024</t>
  </si>
  <si>
    <t>5.0.2</t>
  </si>
  <si>
    <t>QUADRO DE OBJETIVOS E METAS</t>
  </si>
  <si>
    <t>ADM</t>
  </si>
  <si>
    <t>PR-CQ</t>
  </si>
  <si>
    <t>5.0.3</t>
  </si>
  <si>
    <t>DESCRIÇÃO DE CARGOS</t>
  </si>
  <si>
    <t>IT-CQ</t>
  </si>
  <si>
    <t>5.0.4</t>
  </si>
  <si>
    <t>PLANO DE INVESTIMENTOS</t>
  </si>
  <si>
    <t>5.0.5</t>
  </si>
  <si>
    <t>CARTA DE NOMEAÇÃO DO GQ</t>
  </si>
  <si>
    <t>05.06.2023</t>
  </si>
  <si>
    <t>...-KS</t>
  </si>
  <si>
    <t>5.0.6</t>
  </si>
  <si>
    <t xml:space="preserve">CONTEXTO DA ORGANIZAÇÃO </t>
  </si>
  <si>
    <t>5.0.7</t>
  </si>
  <si>
    <t xml:space="preserve">ANÁLISE DE RISCOS E OPORTUNIDADES </t>
  </si>
  <si>
    <t>23.12.22</t>
  </si>
  <si>
    <t>5.0.8</t>
  </si>
  <si>
    <t>MAPEAMENTO DE PROCESSOS</t>
  </si>
  <si>
    <t>5.0.9</t>
  </si>
  <si>
    <t>POLÍTICA DA QUALIDADE</t>
  </si>
  <si>
    <t>08.11.22</t>
  </si>
  <si>
    <t>5.0.10</t>
  </si>
  <si>
    <t xml:space="preserve">ORGANOGRAMA KOALA SYSTEM </t>
  </si>
  <si>
    <t>5.0.11</t>
  </si>
  <si>
    <t xml:space="preserve">PLANO DE CONTINGÊNCIAS </t>
  </si>
  <si>
    <t>5.0.12</t>
  </si>
  <si>
    <t>MATRIZ</t>
  </si>
  <si>
    <t>7.1.5</t>
  </si>
  <si>
    <t>RECURSOS DE MONITORAMENTO E MEDIÇÃO</t>
  </si>
  <si>
    <t>10.04.2024</t>
  </si>
  <si>
    <t>CQ/GQ</t>
  </si>
  <si>
    <t>7.1.1</t>
  </si>
  <si>
    <t>CONTORLE DE CALIBRAÇÃO DE EQUIPAMENTOS</t>
  </si>
  <si>
    <t>05.06.2024</t>
  </si>
  <si>
    <t>CQ</t>
  </si>
  <si>
    <t>7.1.2</t>
  </si>
  <si>
    <t>CONTROLE DE FLUXO DE EQUIPAMENTOS DE MEDIÇÃ</t>
  </si>
  <si>
    <t>22.08.22</t>
  </si>
  <si>
    <t>7.1.3</t>
  </si>
  <si>
    <t>RELAÇÃO DE INSTRUMENTOS DE MEDIÇÃO</t>
  </si>
  <si>
    <t>12.07.22</t>
  </si>
  <si>
    <t>7.1.4</t>
  </si>
  <si>
    <t xml:space="preserve">CERTIFICADO DE AFERIÇÃO INTERNA </t>
  </si>
  <si>
    <t>09.02.22</t>
  </si>
  <si>
    <t xml:space="preserve">CERTIFICADO DE CALIBRAÇÃO EXTERNA </t>
  </si>
  <si>
    <t>7.1.6</t>
  </si>
  <si>
    <t>7.1.7</t>
  </si>
  <si>
    <t>15.08.22</t>
  </si>
  <si>
    <t>7.2</t>
  </si>
  <si>
    <t xml:space="preserve">COMPETÊNCIA E TREINAMENTO </t>
  </si>
  <si>
    <t>28.02.22</t>
  </si>
  <si>
    <t>ADM/PROD/GQ</t>
  </si>
  <si>
    <t>7.2.1</t>
  </si>
  <si>
    <t xml:space="preserve"> PLANO  DE TREINAMENTO</t>
  </si>
  <si>
    <t>08.11.2021</t>
  </si>
  <si>
    <t>RH/GQ</t>
  </si>
  <si>
    <t>7.2.2</t>
  </si>
  <si>
    <t>FICHA CADASTRAL DO FUNCIONÁRIO</t>
  </si>
  <si>
    <t>29.07.2022</t>
  </si>
  <si>
    <t>RH</t>
  </si>
  <si>
    <t>7.2.3</t>
  </si>
  <si>
    <t>LISTA PRESENÇA E AVALIAÇÃO DO TREINAMENTO</t>
  </si>
  <si>
    <t>24.09.2024</t>
  </si>
  <si>
    <t>SEG. TRAB/GQ</t>
  </si>
  <si>
    <t>MONISE BORGES</t>
  </si>
  <si>
    <t>7.2.4</t>
  </si>
  <si>
    <t>LEVAT. DA NECESSIDADE DE TREINAMENTO SOLICITAÇÃO DE TREINAMENTO</t>
  </si>
  <si>
    <t>7.2.5</t>
  </si>
  <si>
    <t xml:space="preserve"> ATESTADO DE QUALIFICAÇÃO DO COLABORADOR</t>
  </si>
  <si>
    <t>25.01.2022</t>
  </si>
  <si>
    <t>7.2.7</t>
  </si>
  <si>
    <t>ADVERTÊNCIA DISCIPLINAR</t>
  </si>
  <si>
    <t>7.2.8</t>
  </si>
  <si>
    <t xml:space="preserve"> FEEDBACK DA CAIXA DE SUGESTÕES</t>
  </si>
  <si>
    <t>18.01.2022</t>
  </si>
  <si>
    <t>7.2.9</t>
  </si>
  <si>
    <t xml:space="preserve"> CONTROLE DE ADVERTÊNCIAS</t>
  </si>
  <si>
    <t>06.12.2022</t>
  </si>
  <si>
    <t>7.2.10</t>
  </si>
  <si>
    <t xml:space="preserve"> FORMULÁRIO DA CAIXA DE SUGESTÕES</t>
  </si>
  <si>
    <t>15.02.2022</t>
  </si>
  <si>
    <t>7.2.11</t>
  </si>
  <si>
    <t xml:space="preserve"> MANUAL DO COLABORADOR</t>
  </si>
  <si>
    <t>09.11.2022</t>
  </si>
  <si>
    <t>7.2.12</t>
  </si>
  <si>
    <t>MODELO DE CONTRATO DE PRESTAÇÃO DE SERVIÇO</t>
  </si>
  <si>
    <t>16.02.2022</t>
  </si>
  <si>
    <t>7.2.14</t>
  </si>
  <si>
    <t>CONTRATO DE TRABALHO CLT</t>
  </si>
  <si>
    <t>18.02.2022</t>
  </si>
  <si>
    <t>7.2.16</t>
  </si>
  <si>
    <t>PLANO DE TREINAMENTO DO PROGRAMA DDS</t>
  </si>
  <si>
    <t>01.09.2022</t>
  </si>
  <si>
    <t>SMS</t>
  </si>
  <si>
    <t>7.2.19</t>
  </si>
  <si>
    <t xml:space="preserve"> TEMAS DSS</t>
  </si>
  <si>
    <t>7.2.23</t>
  </si>
  <si>
    <t xml:space="preserve"> FICHA DE OBSERVAÇÕES DO DSS</t>
  </si>
  <si>
    <t>7.2.24</t>
  </si>
  <si>
    <t xml:space="preserve"> PROTOCOLO DE ENTREGA DE TERMO DE COMPROMISSO</t>
  </si>
  <si>
    <t>29.03.2023</t>
  </si>
  <si>
    <t>7.2.25</t>
  </si>
  <si>
    <t xml:space="preserve"> AVISO DE TREINAMENTO</t>
  </si>
  <si>
    <t>26.06.2023</t>
  </si>
  <si>
    <t xml:space="preserve"> CAPACITAÇÃO INTRODUTÓRIA</t>
  </si>
  <si>
    <t xml:space="preserve"> CARTILHA DE ORIENTACAO AOS  VISITANTES E COLABORADORES</t>
  </si>
  <si>
    <t>28.03.2023</t>
  </si>
  <si>
    <t>RH/GQ/SMS</t>
  </si>
  <si>
    <t>7.5</t>
  </si>
  <si>
    <t xml:space="preserve">INFORMAÇÃO DOCUMENTADA  </t>
  </si>
  <si>
    <t>7.5.1</t>
  </si>
  <si>
    <t xml:space="preserve">LISTA MESTRA </t>
  </si>
  <si>
    <t>28.01.22</t>
  </si>
  <si>
    <t>7.5.2</t>
  </si>
  <si>
    <t xml:space="preserve">LISTA MESTRA DE DOCUMENTOS EXTERNOS </t>
  </si>
  <si>
    <t>7.5.3</t>
  </si>
  <si>
    <t>CONTROLE DE REGISTROS DO SGQ</t>
  </si>
  <si>
    <t>7.5.4</t>
  </si>
  <si>
    <t>CARTEIRA DE AUTÓGRAFOS</t>
  </si>
  <si>
    <t>8.2</t>
  </si>
  <si>
    <t xml:space="preserve">PROCESSO RELACIONADO AO CLIENTE </t>
  </si>
  <si>
    <t>09.05.2024</t>
  </si>
  <si>
    <t>8.2.1</t>
  </si>
  <si>
    <t>CARTA DE RECLAMAÇÃO PARTES INTERESSADAS</t>
  </si>
  <si>
    <t>8.2.2</t>
  </si>
  <si>
    <t>RELATÓRIO DE ATENDIMENTO AO CLIENTE</t>
  </si>
  <si>
    <t>8.2.3</t>
  </si>
  <si>
    <t xml:space="preserve">PROPOSTA TÉCNICA </t>
  </si>
  <si>
    <t>02.02.22</t>
  </si>
  <si>
    <t>ADM/COM</t>
  </si>
  <si>
    <t>8.2.4</t>
  </si>
  <si>
    <t xml:space="preserve">PROPOSTA COMERCIAL </t>
  </si>
  <si>
    <t>8.2.5</t>
  </si>
  <si>
    <t>ANÁLISE DE CRÍTICA DE CONTRATO</t>
  </si>
  <si>
    <t>8.2.6</t>
  </si>
  <si>
    <t>FORMAÇÃO DE PREÇOS</t>
  </si>
  <si>
    <t>COM</t>
  </si>
  <si>
    <t>8.2.7</t>
  </si>
  <si>
    <t>ORDEM DE SERVIÇOS</t>
  </si>
  <si>
    <t>29.09.23</t>
  </si>
  <si>
    <t>8.3</t>
  </si>
  <si>
    <t>PROJETO E DESENVOLVIMENTO</t>
  </si>
  <si>
    <t>23.04.2024</t>
  </si>
  <si>
    <t>PROJ/PROD/GQ</t>
  </si>
  <si>
    <t>8.3.1</t>
  </si>
  <si>
    <t>ANÁLISE, DISTRIBUIÇÃO E CONTROLE DE DESENHOS TÉCNICOS</t>
  </si>
  <si>
    <t>29.11.23</t>
  </si>
  <si>
    <t xml:space="preserve">CONTROLE DE DISTRIBUIÇÃO DE DESENHOS </t>
  </si>
  <si>
    <t>28.11.23</t>
  </si>
  <si>
    <t>PROJ</t>
  </si>
  <si>
    <t>8.4</t>
  </si>
  <si>
    <t xml:space="preserve">AQUISIÇÃO </t>
  </si>
  <si>
    <t>14.05.2024</t>
  </si>
  <si>
    <t>SUP/GQ</t>
  </si>
  <si>
    <t>8.4.1</t>
  </si>
  <si>
    <t>CARTA DE INCLUSÃO DE FORNECEDOR</t>
  </si>
  <si>
    <t>8.4.2</t>
  </si>
  <si>
    <t>QUESTIONÁRIO AVALIAÇÃO INICIAL DE FORNECEDOR</t>
  </si>
  <si>
    <t>30.07.2024</t>
  </si>
  <si>
    <t>8.4.2.1</t>
  </si>
  <si>
    <t>QUESTIONÁRIO DE REAVALIAÇÃO DO FORNECEDOR</t>
  </si>
  <si>
    <t>24.10.24</t>
  </si>
  <si>
    <t>8.4.3</t>
  </si>
  <si>
    <t>AVALIAÇÃO INICIAL DO FORNECEDOR</t>
  </si>
  <si>
    <t>8.4.4</t>
  </si>
  <si>
    <t>LISTA DE FORNECEDORES QUALIFICADOS</t>
  </si>
  <si>
    <t>05.07.2024</t>
  </si>
  <si>
    <t>8.4.5</t>
  </si>
  <si>
    <t>REQUISIÇÃO DE COMPRAS</t>
  </si>
  <si>
    <t>ENG/SUP</t>
  </si>
  <si>
    <t>CIRO LESSA - ANALISAR CODIGO</t>
  </si>
  <si>
    <t>8.4.6</t>
  </si>
  <si>
    <t>ACOMPANHAMENTO DE ORDEM DE COMPRA</t>
  </si>
  <si>
    <t>20.01.2024</t>
  </si>
  <si>
    <t>MONISE BORGES E CIRO LESSA</t>
  </si>
  <si>
    <t>8.4.7</t>
  </si>
  <si>
    <t>RESUMO COLETA DE PREÇO</t>
  </si>
  <si>
    <t>02.02.2022</t>
  </si>
  <si>
    <t>8.5</t>
  </si>
  <si>
    <t>PRODUÇÃO E FORNECIMENTO DE SERVIÇO</t>
  </si>
  <si>
    <t>10.10.2023</t>
  </si>
  <si>
    <t>PCP/PROD/CQ/GQ</t>
  </si>
  <si>
    <t>8.5.1</t>
  </si>
  <si>
    <t>RELAÇÃO DE SOLDADORES / OPERADORES DE SOLDAGEM QUALIFICADOS</t>
  </si>
  <si>
    <t>17.03.2022</t>
  </si>
  <si>
    <t>8.5.2</t>
  </si>
  <si>
    <t>PROGRAMAÇÃO DE CORTE</t>
  </si>
  <si>
    <t>13.04.2023</t>
  </si>
  <si>
    <t>CORTE</t>
  </si>
  <si>
    <t>8.5.3</t>
  </si>
  <si>
    <t>SOLICITAÇÃO DE MANUTENÇÃO CORRETIVA</t>
  </si>
  <si>
    <t>MAN</t>
  </si>
  <si>
    <t>8.5.4</t>
  </si>
  <si>
    <t>CONTROLE DE DESEMPENHO DOS SOLDADORES</t>
  </si>
  <si>
    <t>8.5.5</t>
  </si>
  <si>
    <t xml:space="preserve">PLANO DE MANUTENÇÃO PREVENTIVA </t>
  </si>
  <si>
    <t>8.5.6</t>
  </si>
  <si>
    <t>REGISTRO DIÁRIO DE OBRA</t>
  </si>
  <si>
    <t>18.04.2024</t>
  </si>
  <si>
    <t>PCP</t>
  </si>
  <si>
    <t>8.5.7.1</t>
  </si>
  <si>
    <t xml:space="preserve">REQUISIÇÃO DE CONSUMÍVEIS </t>
  </si>
  <si>
    <t>21.06.2023</t>
  </si>
  <si>
    <t>ALMOX</t>
  </si>
  <si>
    <t>8.5.7.2</t>
  </si>
  <si>
    <t>CONTROLE DE FLUXO DE FERRAMENTAS</t>
  </si>
  <si>
    <t>15.03.2023</t>
  </si>
  <si>
    <t>8.5.8</t>
  </si>
  <si>
    <t>CONTROLE NO CUMPRIMENTO DE REQUISITOS DA QUALIDADE NAS ORDENS DE SERVIÇOS</t>
  </si>
  <si>
    <t>02.02.2023</t>
  </si>
  <si>
    <t>8.5.9</t>
  </si>
  <si>
    <t xml:space="preserve">BOLETIM DE MEDIÇÃO DE INSPETORES </t>
  </si>
  <si>
    <t>05.04.2023</t>
  </si>
  <si>
    <t>8.5.10</t>
  </si>
  <si>
    <t xml:space="preserve">MODELO CAPA DATA-BOOK </t>
  </si>
  <si>
    <t>02.02.2024</t>
  </si>
  <si>
    <t>8.5.14</t>
  </si>
  <si>
    <t>CERTIFICADO DE CONCLUSÃO/GARANTIA DE SERVIÇOS EXECUTADOS</t>
  </si>
  <si>
    <t>8.5.15</t>
  </si>
  <si>
    <t>RASTREABILIDADE DE MATERIAIS POR PROJETO</t>
  </si>
  <si>
    <t>02.07.2024</t>
  </si>
  <si>
    <t>8.5.16</t>
  </si>
  <si>
    <t>RASTREABILIDADE DE MATERIAIS POR COMPONENTES</t>
  </si>
  <si>
    <t>07.06.2024</t>
  </si>
  <si>
    <t>8.5.17</t>
  </si>
  <si>
    <t>RELAÇÃO DE ESPECIFICAÇÃO DE PROCEDIMENTO DE SOLDAGEM EPS</t>
  </si>
  <si>
    <t>17.07.2024</t>
  </si>
  <si>
    <t>8.5.20</t>
  </si>
  <si>
    <t>CHECK LIST DE MANUTENÇÃO DE MÁQUINAS E EQUIPAMENTOS</t>
  </si>
  <si>
    <t>08.02.2022</t>
  </si>
  <si>
    <t>8.5.21</t>
  </si>
  <si>
    <t>CONTROLE DE FLUXO DE EQUIPAMENTOS</t>
  </si>
  <si>
    <t>15.03.22</t>
  </si>
  <si>
    <t>8.5.22</t>
  </si>
  <si>
    <t>ROMANEIO DE ENTRADA E SAÍDA DE MERCADORIAS</t>
  </si>
  <si>
    <t>11.05.22</t>
  </si>
  <si>
    <t>8.5.23</t>
  </si>
  <si>
    <t>LIÇÕES APRENDIDAS</t>
  </si>
  <si>
    <t>25.04.22</t>
  </si>
  <si>
    <t>SGQ</t>
  </si>
  <si>
    <t>8.5.25</t>
  </si>
  <si>
    <t>LIBERAÇÃO DE CONSUMÍVEIS</t>
  </si>
  <si>
    <t>02.05.22</t>
  </si>
  <si>
    <t>8.5.26</t>
  </si>
  <si>
    <t>RELATÓRIO LIÇÕES APRENDIDAS EM PROJETOS</t>
  </si>
  <si>
    <t>8.5.29</t>
  </si>
  <si>
    <t xml:space="preserve"> PLANEJAMENTO DE ATIVIDADES SEMANIAIS</t>
  </si>
  <si>
    <t>31.05.2023</t>
  </si>
  <si>
    <t>8.5.30</t>
  </si>
  <si>
    <t xml:space="preserve"> CONTROLE DE LIÇÕES APRENDIDAS</t>
  </si>
  <si>
    <t>09.06.2023</t>
  </si>
  <si>
    <t>8.5.31</t>
  </si>
  <si>
    <t xml:space="preserve"> RELATÓRIO DE LIÇÕES APRENDIDAS</t>
  </si>
  <si>
    <t>8.5.32</t>
  </si>
  <si>
    <t>IDENTIFICAÇÃO DE PRODUTOS ACABADOS</t>
  </si>
  <si>
    <t>26.09.2023</t>
  </si>
  <si>
    <t>PCP/ALMOX</t>
  </si>
  <si>
    <t>8.5.33</t>
  </si>
  <si>
    <t xml:space="preserve"> CONTROLE DE EXPANDIDORES CONSIGNADOS</t>
  </si>
  <si>
    <t>03.10.2023</t>
  </si>
  <si>
    <t>CONTROLLER</t>
  </si>
  <si>
    <t>8.5.34</t>
  </si>
  <si>
    <t xml:space="preserve"> ACOMPANHAMENTO DE PRODUÇÃO</t>
  </si>
  <si>
    <t>8.5.35</t>
  </si>
  <si>
    <t xml:space="preserve"> PROGRAMAÇÃO DE CORTE DE TIRANTES/ESPAÇADORES </t>
  </si>
  <si>
    <t>8.5.37</t>
  </si>
  <si>
    <t>CONTROLE DO SETOR DE PROJETOS</t>
  </si>
  <si>
    <t>8.5.40</t>
  </si>
  <si>
    <t xml:space="preserve"> CONTROLE DE CORTE</t>
  </si>
  <si>
    <t>8.5.41</t>
  </si>
  <si>
    <t xml:space="preserve"> PROGRAMAÇÃO DA USINAGEM</t>
  </si>
  <si>
    <t>8.5.42</t>
  </si>
  <si>
    <t>CONTROLE DE EXPANDIDORES EM USO</t>
  </si>
  <si>
    <t>8.5.43</t>
  </si>
  <si>
    <t xml:space="preserve"> CRONOGRAMA OS </t>
  </si>
  <si>
    <t>8.5.44</t>
  </si>
  <si>
    <t>RELAÇÃO DE EXPANDIDORES</t>
  </si>
  <si>
    <t>8.5.45</t>
  </si>
  <si>
    <t xml:space="preserve"> ETIQUETA DE IDENTIFICAÇÃO E STATUS</t>
  </si>
  <si>
    <t>13.11.2023</t>
  </si>
  <si>
    <t>CQ/ALMOX/CORTE</t>
  </si>
  <si>
    <t>REGRAS OPERACIONAIS SETOR DE CORTE</t>
  </si>
  <si>
    <t>19.01.2023</t>
  </si>
  <si>
    <t>CORTE/GQ</t>
  </si>
  <si>
    <t xml:space="preserve"> INSTRUÇÕES PARA FECHAMENTO DA FÁBRICA </t>
  </si>
  <si>
    <t>COOR. FABR.</t>
  </si>
  <si>
    <t xml:space="preserve"> CONTROLE DE EXPANDIDORES - ESTOQUE CONSIGNADO</t>
  </si>
  <si>
    <t>COOR. FABR/CQ.</t>
  </si>
  <si>
    <t>VALIDAÇÃO DE PROCESSO E PRESTAÇÃO DE SERVIÇO</t>
  </si>
  <si>
    <t>PROD/GQ</t>
  </si>
  <si>
    <t xml:space="preserve">GESTÃO DE MUDANÇA </t>
  </si>
  <si>
    <t>8.5.2.1</t>
  </si>
  <si>
    <t>MATRIZ DE GESTÃO DA MUDANÇA</t>
  </si>
  <si>
    <t>OBSOLETO</t>
  </si>
  <si>
    <t>8.6</t>
  </si>
  <si>
    <t xml:space="preserve">INSPEÇÃO E TESTE </t>
  </si>
  <si>
    <t>CQS-KS</t>
  </si>
  <si>
    <t>CERTIFICADO DE QUALIFICAÇÃO DE SOLDADORES</t>
  </si>
  <si>
    <t>8.6.1</t>
  </si>
  <si>
    <t xml:space="preserve"> RELATÓRIO DE INSPEÇÃO DIMENSIONAL - RID</t>
  </si>
  <si>
    <t>17.03.2023</t>
  </si>
  <si>
    <t>8.6.2</t>
  </si>
  <si>
    <t>PLANO DE INSPEÇÃO E TESTE - PIT</t>
  </si>
  <si>
    <t>8.6.3</t>
  </si>
  <si>
    <t xml:space="preserve"> RELATÓRIO DE TESTE DE PRESSÃO - RTP</t>
  </si>
  <si>
    <t>8.6.5</t>
  </si>
  <si>
    <t>FSGQ 8.6-5 MAPEAMENTO DE SOLDA</t>
  </si>
  <si>
    <t>14.06.2024</t>
  </si>
  <si>
    <t>8.6.6</t>
  </si>
  <si>
    <t xml:space="preserve"> RELATÓRIO DE ENSAIO POR LÍQUIDO PENETRANTE - RLP</t>
  </si>
  <si>
    <t>8.6.7</t>
  </si>
  <si>
    <t>RELATÓRIO DE INSPEÇÃO VISUAL E DIMENSIONAL DE SOLDA - RVS</t>
  </si>
  <si>
    <t>8.6.8</t>
  </si>
  <si>
    <t>RELATÓRIO DE INSPEÇÃO DE  RECEBIMENTO - RIR</t>
  </si>
  <si>
    <t>27.02.2023</t>
  </si>
  <si>
    <t>8.6.9</t>
  </si>
  <si>
    <t xml:space="preserve"> MAPEAMENTO DE JUNTAS RADIOGRAFADAS</t>
  </si>
  <si>
    <t>17.05.2024</t>
  </si>
  <si>
    <t>8.6.10</t>
  </si>
  <si>
    <t>REGISTRO FOTOGRÁFICO - RF</t>
  </si>
  <si>
    <t>14.04.2022</t>
  </si>
  <si>
    <t>8.6.11</t>
  </si>
  <si>
    <t>LIBERAÇÃO PARA EMBARQUE DE EQUIPAMENTOS</t>
  </si>
  <si>
    <t>12.07.2024</t>
  </si>
  <si>
    <t>8.6.12</t>
  </si>
  <si>
    <t xml:space="preserve"> RELAÇÃO DE INSPETORES DA QUALIDADE</t>
  </si>
  <si>
    <t>22.08.2022</t>
  </si>
  <si>
    <t>8.6.13</t>
  </si>
  <si>
    <t>RELATÓRIO DE DECAPAGEM E APASSIVAÇÃO</t>
  </si>
  <si>
    <t>05.08.2022</t>
  </si>
  <si>
    <t>8.6.15</t>
  </si>
  <si>
    <t xml:space="preserve"> RELATÓRIO DE LIMPEZA QUIMICA </t>
  </si>
  <si>
    <t>04.01.2023</t>
  </si>
  <si>
    <t>8.6.16</t>
  </si>
  <si>
    <t>CONTROLE DE CALIBRAÇÃO DE MÁQUINA DE SOLDA</t>
  </si>
  <si>
    <t>30.01.2023</t>
  </si>
  <si>
    <t>8.6.17</t>
  </si>
  <si>
    <t>AFERIÇÃO DE MÁQUINA DE SOLDA</t>
  </si>
  <si>
    <t>8.6.19</t>
  </si>
  <si>
    <t>PROGRAMAÇÃO DE ENSAIO RADIOGRÁFICO / ULTRASSOM</t>
  </si>
  <si>
    <t>08.03.2023</t>
  </si>
  <si>
    <t>8.6.21</t>
  </si>
  <si>
    <t>RELATÓRIO DE REGISTRO DE SOLDAGEM - RRS</t>
  </si>
  <si>
    <t>23.03.2023</t>
  </si>
  <si>
    <t>8.6.26</t>
  </si>
  <si>
    <t xml:space="preserve"> RELATÓRIO DE MANDRILAGEM</t>
  </si>
  <si>
    <t>15.12.2023</t>
  </si>
  <si>
    <t>8.6.28</t>
  </si>
  <si>
    <t xml:space="preserve"> OMPOSIÇÃO QUÍMICA DE MATERIAIS </t>
  </si>
  <si>
    <t>8.6.29</t>
  </si>
  <si>
    <t>PRONTUÁRIO DE NR-13</t>
  </si>
  <si>
    <t>29.04.2024</t>
  </si>
  <si>
    <t>ENG</t>
  </si>
  <si>
    <t>8.6.30</t>
  </si>
  <si>
    <t xml:space="preserve"> RELATÓRIO DE INSPEÇÃO FINAL</t>
  </si>
  <si>
    <t>8.6.31</t>
  </si>
  <si>
    <t>RELATÓRIO DE TORQUE PARA APERTO DE PLUG</t>
  </si>
  <si>
    <t>22.07.2024</t>
  </si>
  <si>
    <t>8.6.32</t>
  </si>
  <si>
    <t xml:space="preserve">CRITÉRIO DE ACEITAÇÃO NO RECEBIMENTO DE MATERIAIS </t>
  </si>
  <si>
    <t>18.06.2024</t>
  </si>
  <si>
    <t>EVS-KS</t>
  </si>
  <si>
    <t xml:space="preserve">PROCEDIMENTO DE ENSAIO VISUAL DE SOLDA </t>
  </si>
  <si>
    <t>10.06.2022</t>
  </si>
  <si>
    <t>L.P- KS</t>
  </si>
  <si>
    <t>PROCEDIMENTO DE LÍQUIDO PENETRANTE</t>
  </si>
  <si>
    <t>CDE-KS</t>
  </si>
  <si>
    <t>PROCEDIMENTO DE CONTROLE DIMENSIONAL</t>
  </si>
  <si>
    <t xml:space="preserve"> CONTROLE DE CALIBRAÇÃO DE INSTRUMENTOS EQUIPAMENTOS DE MEDIÇÃO</t>
  </si>
  <si>
    <t>16.06.2024</t>
  </si>
  <si>
    <t xml:space="preserve"> INSP. RECEB.,TRAT. E MANUSEIO CONSUMÍVEIS SOLDAGEM</t>
  </si>
  <si>
    <t>08.04.2022</t>
  </si>
  <si>
    <t xml:space="preserve"> INSPEÇÕES E ENSAIOS</t>
  </si>
  <si>
    <t>PROCEDIMENTO DE PINTURA</t>
  </si>
  <si>
    <t>26.07.2024</t>
  </si>
  <si>
    <t xml:space="preserve"> EMISSÃO DE DATA-BOOK</t>
  </si>
  <si>
    <t>CALIBRAÇÃO DE MÁQUINA DE SOLDA A ARCO</t>
  </si>
  <si>
    <t>13.05.2024</t>
  </si>
  <si>
    <t xml:space="preserve"> ENSAIO NÃO-DESTRUTIVO - QUALIFICAÇÃO DE PESSOAL</t>
  </si>
  <si>
    <t>20.09.2022</t>
  </si>
  <si>
    <t>EXECUÇÃO DE TESTES DE PRESSÃO</t>
  </si>
  <si>
    <t>15.04.2024</t>
  </si>
  <si>
    <t>CQ/PROD</t>
  </si>
  <si>
    <t>INSPEÇÃO DE RECEBIMENTO E RASTREABILIDADE DE MATERIAIS</t>
  </si>
  <si>
    <t xml:space="preserve"> LIMPEZA QUIMICA  TUBOS  TROCADOR AC</t>
  </si>
  <si>
    <t>ARMAZENAMENTO, PRESERVAÇÃO, EMBALAGEM E EXPEDIÇÃO</t>
  </si>
  <si>
    <t xml:space="preserve"> PROCEDIMENTO DE MONT. VASOS</t>
  </si>
  <si>
    <t>07.05.2024</t>
  </si>
  <si>
    <t xml:space="preserve"> PROCEDIMENTO DE DECAPAGEM E APASSIVAÇÃO DE AÇOS INOXIDÁVEIS</t>
  </si>
  <si>
    <t>20.09.2019</t>
  </si>
  <si>
    <t xml:space="preserve"> PROCEDIMENTO ENSAIO VISUAL </t>
  </si>
  <si>
    <t>10.06.2024</t>
  </si>
  <si>
    <t>AFERIÇÃO INTERNA DE TRENAS</t>
  </si>
  <si>
    <t>13.01.2024</t>
  </si>
  <si>
    <t>APERTO CONTROLADO DE PLUG</t>
  </si>
  <si>
    <t>24.07.2024</t>
  </si>
  <si>
    <t xml:space="preserve"> PROCEDIMENTO DE DOBRAMENTO DE TUBOS</t>
  </si>
  <si>
    <t>16.07.2024</t>
  </si>
  <si>
    <t xml:space="preserve"> RETUBAGEM DE FEIXE TUBULAR DE PERMUTADORES DE CALOR COM ESPELHO FLUTUANTE</t>
  </si>
  <si>
    <t>03.08.2022</t>
  </si>
  <si>
    <t>RETUBAGEM DE FEIXE TUBULAR DE PERMUTADOR DE CALOR COM ESPELHO FIXO</t>
  </si>
  <si>
    <t>10.10.2022</t>
  </si>
  <si>
    <t xml:space="preserve"> MANDRILAGEM DE TUBOS DE CALOR </t>
  </si>
  <si>
    <t xml:space="preserve"> AFERIÇÃO DE MÁQUINA DE SOLDA E ESTUFA PORTÁTIL</t>
  </si>
  <si>
    <t xml:space="preserve"> RETUBAGEM DE FEIXE TUBULAR DE PERMUTADORES DE CALOR COM TUBOS EM U</t>
  </si>
  <si>
    <t>20.09.2023</t>
  </si>
  <si>
    <t>SOLDA DE SELAGEM DE TUBOS TROCADOR DE CALOR</t>
  </si>
  <si>
    <t>8.7</t>
  </si>
  <si>
    <t>CONTROLE DE SAÍDAS NÃO CONFORMES</t>
  </si>
  <si>
    <t>8.7.1</t>
  </si>
  <si>
    <t>CONTROLE DE RNC</t>
  </si>
  <si>
    <t>16.05.2023</t>
  </si>
  <si>
    <t>8.7.2</t>
  </si>
  <si>
    <t xml:space="preserve"> RELATÓRIO DE NÃO CONFORMIDADE AÇÃO CORRETIVA / AÇÃO PREVENTIVA</t>
  </si>
  <si>
    <t>15.02.2024</t>
  </si>
  <si>
    <t>ADM/PROD/CQ/COR/SUP</t>
  </si>
  <si>
    <t>8.7.3</t>
  </si>
  <si>
    <t>ETIQUETA DE NÃO CONFORME</t>
  </si>
  <si>
    <t>8.7.7</t>
  </si>
  <si>
    <t xml:space="preserve"> CONTROLE DE SAÍDAS DE EPI'S</t>
  </si>
  <si>
    <t>01.02.22</t>
  </si>
  <si>
    <t>ALMOX/SMS</t>
  </si>
  <si>
    <t>8.7.8</t>
  </si>
  <si>
    <t>RECOMENDAÇÕES DE MELHORIAS</t>
  </si>
  <si>
    <t>8.7.9</t>
  </si>
  <si>
    <t>FICHA DE INVESTIGAÇÃO DE ACIDENTE DOENÇA OCUPACIONAL / INCIDENTE</t>
  </si>
  <si>
    <t>12.08.22</t>
  </si>
  <si>
    <t>ADM/PROD</t>
  </si>
  <si>
    <t>8.7.10</t>
  </si>
  <si>
    <t xml:space="preserve"> RELATÓRIO TÉCNICO DE SEGURANÇA DO TRABALHO</t>
  </si>
  <si>
    <t>13.11.23</t>
  </si>
  <si>
    <t>SEG. TRAB.</t>
  </si>
  <si>
    <t xml:space="preserve">AVALIAÇÃO DE DESEMPENHO </t>
  </si>
  <si>
    <t>17.06.23</t>
  </si>
  <si>
    <t>9.0.1</t>
  </si>
  <si>
    <t>QUESTIONÁRIO DE SATISFAÇÃO DO CLIENTE</t>
  </si>
  <si>
    <t>9.0.2</t>
  </si>
  <si>
    <t xml:space="preserve"> AVALIAÇÃO DA PERCEPÇÃO DO CLIENTE </t>
  </si>
  <si>
    <t>9.2</t>
  </si>
  <si>
    <t>AUDITORIA INTERNA DO SGQ</t>
  </si>
  <si>
    <t>9.2.1</t>
  </si>
  <si>
    <t xml:space="preserve">CALENDÁRIO DE AUDITORIA </t>
  </si>
  <si>
    <t>9.2.2</t>
  </si>
  <si>
    <t>AVISO DE AUDITORIA</t>
  </si>
  <si>
    <t>9.2.3</t>
  </si>
  <si>
    <t>RELATÓRIO DE AUDITORIA INTERNA</t>
  </si>
  <si>
    <t>9.2.4</t>
  </si>
  <si>
    <t xml:space="preserve"> LISTA DE VERIFICAÇÃO EM AUDITORIA  INTERNA</t>
  </si>
  <si>
    <t xml:space="preserve">IDENTIFICACAO DE ASPECTOS E IMPACTOS RISCOS E PERIGOS </t>
  </si>
  <si>
    <t>15.07.2024</t>
  </si>
  <si>
    <t>SMS/GQ</t>
  </si>
  <si>
    <t>-</t>
  </si>
  <si>
    <r>
      <rPr>
        <b/>
        <sz val="14"/>
        <color theme="1"/>
        <rFont val="Gomme Sans"/>
      </rPr>
      <t>F.PST.025– PCT - PLANO DE CONTROLE TECNOLÓGICO</t>
    </r>
    <r>
      <rPr>
        <sz val="14"/>
        <color theme="1"/>
        <rFont val="Gomme Sans"/>
      </rPr>
      <t xml:space="preserve">
Data da emissão: 02/01/2023
Versão: 01</t>
    </r>
  </si>
  <si>
    <t>ESPECIALIDADE</t>
  </si>
  <si>
    <t>CLASSIFICAÇÃO</t>
  </si>
  <si>
    <t>DESCRIÇÃO</t>
  </si>
  <si>
    <t>APLICÁVEL
(SIM / NÃO)</t>
  </si>
  <si>
    <t>REQUISITOS ASSOCIADOS</t>
  </si>
  <si>
    <t>RESPONSABILIDADE</t>
  </si>
  <si>
    <t>MEIO</t>
  </si>
  <si>
    <t>STATUS
(À CONTRATAR; CONTRATADO E FINALIZADO)</t>
  </si>
  <si>
    <t>FORNECEDOR/EXECUTOR QUALIFICADO</t>
  </si>
  <si>
    <r>
      <t xml:space="preserve">EVIDÊNCIA DE ATENDIMENTO
</t>
    </r>
    <r>
      <rPr>
        <b/>
        <sz val="11"/>
        <color indexed="2"/>
        <rFont val="Gomme Sans"/>
      </rPr>
      <t>ATENTAR PARA A 17025 /LABORATÓRIO</t>
    </r>
  </si>
  <si>
    <t>ORGANIZACIONAL</t>
  </si>
  <si>
    <t>CONTRATUAL</t>
  </si>
  <si>
    <t>TERRAPLENAGEM</t>
  </si>
  <si>
    <t>SERVIÇO</t>
  </si>
  <si>
    <t>Execução de corte e aterro</t>
  </si>
  <si>
    <t>&gt; ABNT NBR
- 11682 (Estabilidade das encostas) - 6.2 - Investigações de campo
- 11682 - 6.3- Amostragem
- 11682 - 6.4 - Levantamento de taludes rochosos
- 6459 (Liquidez) - 4.2 - Amostra preparada com secagem prévia
- 6459  -  4.3 - Amostra preparada sem secagem  prévia
- 6457 (Compactação e caracterização) - 4 - Preparação de amostras para ensaios de compactação
- 6457 - 5 - Preparação de amostras para ensaios de caracterização
- 6457 - Anexo A - Determinação do teor de umidade dos solos
- 7180 (Plasticidade) - 4.2 - Amostra preparada com secagem prévia
- 7180 - 4.2 - Amostra preparada sem secagem prévia
- 7181 - Análise granulométrica
- 5681 (Controle tecnológico da execução de aterros) - 3 - Requisitos gerais
- 5681 - 3 - Requisitos específicos</t>
  </si>
  <si>
    <t>EXECUTOR</t>
  </si>
  <si>
    <r>
      <t xml:space="preserve">- Execução de ensaios laboratoriais e in loco conforme especificado por norma.
</t>
    </r>
    <r>
      <rPr>
        <b/>
        <sz val="11"/>
        <color theme="1"/>
        <rFont val="Gomme Sans"/>
      </rPr>
      <t xml:space="preserve">- Para corpo de aterro: </t>
    </r>
    <r>
      <rPr>
        <sz val="11"/>
        <color theme="1"/>
        <rFont val="Gomme Sans"/>
      </rPr>
      <t xml:space="preserve">01 ensaio de compactação a cada 1000m³ lançados
</t>
    </r>
    <r>
      <rPr>
        <b/>
        <sz val="11"/>
        <color theme="1"/>
        <rFont val="Gomme Sans"/>
      </rPr>
      <t>- Para camada final de aterro:
-</t>
    </r>
    <r>
      <rPr>
        <sz val="11"/>
        <color theme="1"/>
        <rFont val="Gomme Sans"/>
      </rPr>
      <t xml:space="preserve"> 01 ensaio de compactação para cada 200m³ lançados;
- 01 ensaio de granulometria, liquidez e plasticidade para cada amostra submetida aos ensaios de compactação;
- 01 ensaio de CBR para cada 04 amostras da camada final de aterro.</t>
    </r>
  </si>
  <si>
    <t>- Para Grau de compactação: Certificado de qualidade conforme DNIT 108 ou ABNT NBR 5681
- Para umidade ótima, densidade: ABNT NBR 5681</t>
  </si>
  <si>
    <t xml:space="preserve">- Todo o serviço de corte e aterro deve ser acompanhado por técnico laboratorista qualificado;
- Em caso de alteração de jazida deve-se realizar novo ensaio de caracterização;
- Em caso de mudança de solo, mesmo que de mesma jazida, deve-se consultar o técnico laboratorista a respeito da necessidade de extração de novas amostras para caracterização  </t>
  </si>
  <si>
    <t>CONTENÇÃO</t>
  </si>
  <si>
    <t>Execução de contenção em Solo Grampeado</t>
  </si>
  <si>
    <t>&gt; ABNT (Tirantes)
5629 - 3.11.1 - Ensaio de qualificação (comportamento)
5629 - 3.11.2 - Ensaio de recebimento (desempenho)
&gt; ABNT (Solo grampeado)
- 16920 (Muros e taludes em solos reforçados) - 9.1 - Resistência estrutural à tração do grampo para armação em barras de aço
- 16920 - Anexo A - Ensaios de arrancamento
- 16920 - 9.2 - Dimensionamento estrutural da ligação do grampo ao paramento
- 16920 - 9.3 - Dimensionamento do paramento estrutural
- 16920 - 9.4 - Resistência da interface solo-grampo
- 16920 - 9.5 - Estados limites últimos (ELU)
&gt; ABNT (Injeção de calda de cimento)
- 7681 (Calda de cimento para injeção) - 6.1 - Relação água/cimento
- 7681 - 6.2 - Fluidez
- 7681 - 6.3 - Vida útil
- 7681 - 6.4 - Exsudação
- 7681- 6.5 - Expansão 
- 7681 - 6.6 - Resistência à compressão</t>
  </si>
  <si>
    <t>- Ensaio de recebimento: tirantes permanentes e provisórios, em fase em carga e descarga, conforme tabela D.1. da norma.
- Anexo D.4.2 - Ensaio de qualificação: pelo menos 1% da quantidade, arredondada para cima, dos tirantes permanentes e em um dos primeiros tirantes da obra
- Anexo D.4.3 - Ensaio de qualificação, com medição de fluência: pelo menos 0,5% da quantidade dos tirantes permanentes, em obras com mais de 100 tirantes, ou conforme indicado pelo projetista.</t>
  </si>
  <si>
    <t>Relatório de ensaio e/ou certificado em conformidade com a referida norma, conforme especificado na coluna "Requisitos associados"</t>
  </si>
  <si>
    <t>Execução de contenção em solo reforçado</t>
  </si>
  <si>
    <t>&gt; ABNT NBR 
- 16920-1 - 10.2 - Fatores de segurança
- 16920 - 10.4 - Estabilidade externa
- 16920 -10.5 - Estabilidade interna
- 16920 - 10.6 - Estabilidade geral
- 16920 - 10.7 - Verificação da conexão do reforço com o paramento
- 16920 - 11 - Deslocamento e deformações</t>
  </si>
  <si>
    <t>Execução de ensaios e cálculos (Projetista):
&gt; Fatores de segurança: 
- Método do fator de segurança global (10.2.1)
- Método dos fatores de segurança parciais (10.2.2)
&gt; Estabilidade externa:
- Capacidade de suporte do solo de fundação (10.4.1)
- Deslizamento na base (10.4.2)
- Tombamento (10.4.3)
Obs.: Verificação durante o processo executivo em trechos representativos e após conclusão dos mesmos)
&gt; Estabilidade interna:
- Arrancamento do reforço 
- Ruptura estrutural por tração de atuação da força de tração máxima
Obs.: Verificação dos esforços em cada camada de aterro reforçado
&gt; Estabilidade geral:
Obs.: Verificação considerando análise de superfícies potenciais de ruptura (Interceptando ou não, total ou parcialmente, os elementos de reforço)</t>
  </si>
  <si>
    <t>Certificado de qualidade e/ou relatório de ensaios conforme ABNT NBR 16920</t>
  </si>
  <si>
    <t>- Todo o material/solo utilizado para ensacamento/envelopamento deve ser ensaiado em laboratório para definição de parâmetros.</t>
  </si>
  <si>
    <t>ESTRUTURAL</t>
  </si>
  <si>
    <t>Fundações de peças pré-fabricadas de concreto</t>
  </si>
  <si>
    <r>
      <rPr>
        <b/>
        <sz val="11"/>
        <color theme="1"/>
        <rFont val="Gomme Sans"/>
      </rPr>
      <t>&gt; ABNT NBR (Peças pré-fabricadas)</t>
    </r>
    <r>
      <rPr>
        <sz val="11"/>
        <color theme="1"/>
        <rFont val="Gomme Sans"/>
      </rPr>
      <t xml:space="preserve">
- 9062 (Projeto e execução) - 12.2 - Materiais (Ensaios)
- 9062 - 12.3 - Armadura passiva (Ensaios)
- 9062 - 12.4 - Armadura ativa (Ensaios)
- 9062 - 12.6 - Concreto (Ensaios)
- 9062 - 21.8 - Produto acabado:
- Verificação das dimensões e insertos
- Verificação da existência de falhas ou defeitos
- Verificação da existência de fissuras
- Verificação da aparência quanto a rebarbas
- Verificação da homogeneidade e cor e textura
- 9062 - 5.2.2 - Tolerâncias de fabricação e montagem
- 6122 (Projeto e execução de fundações) - 9.2 - Requisitos - Desempenho dos elementos de fundação
- 6122 - 7.3 - Determinação da tensão admissível ou da tensão resistente de cálculo a partir do estado limite último (ELU)
</t>
    </r>
    <r>
      <rPr>
        <b/>
        <sz val="11"/>
        <color theme="1"/>
        <rFont val="Gomme Sans"/>
      </rPr>
      <t>&gt; ABNT NBR (Componentes e materiais agregados ao sistema):</t>
    </r>
    <r>
      <rPr>
        <sz val="11"/>
        <color theme="1"/>
        <rFont val="Gomme Sans"/>
      </rPr>
      <t xml:space="preserve">
- Concreto: Resistência à compressão 28 dias (ABNT NBR 5738 e 5739)
- Aço: ABNT NBR 7480
- Agregado graúdo e miúdo: ABNT NBR 7211
- Cimento: ABNT NBR 12655
- Graute: Resistência à compressão 28 dias (ABNT NBR 5738 e 5739)
- Argamassa polimérica: ABNT NBR 11905</t>
    </r>
  </si>
  <si>
    <t>Solicitar relatório de ensaio do fornecedor</t>
  </si>
  <si>
    <t xml:space="preserve">Certificado de qualidade e relatório de ensaios das peças de acordo com as respectivas NBR's mencionadas na coluna "Requisitos associados" </t>
  </si>
  <si>
    <t>- Os processos de produção e/ou suprimentos devem inspecionar todas as peças por lote de entrega, estando atreladas às suas respectivas NF's.
- Todas as inspeções internas devem ser registradas e arquivadas
- Ao final do serviço, a fornecedora responsável deve entregar um "databook" contendo compilado de todos os certificados e ensaios laboratoriais de todas as peças entregues e instaladas no empreendimento.</t>
  </si>
  <si>
    <t>Superestrutura de peças pré-fabricadas de concreto
(Pilar, Vigas e Lajes)</t>
  </si>
  <si>
    <r>
      <rPr>
        <b/>
        <sz val="11"/>
        <color theme="1"/>
        <rFont val="Gomme Sans"/>
      </rPr>
      <t>&gt; ABNT NBR (Peças pré-fabricadas)</t>
    </r>
    <r>
      <rPr>
        <sz val="11"/>
        <color theme="1"/>
        <rFont val="Gomme Sans"/>
      </rPr>
      <t xml:space="preserve">
- 9062 (Projeto e execução) - 12.2 - Materiais (Ensaios)
- 9062 - 12.3 - Armadura passiva (Ensaios)
- 9062 - 12.4 - Armadura ativa (Ensaios)
- 9062 - 12.6 - Concreto (Ensaios)
- 9062 - 21.8 - Produto acabado:
- Verificação das dimensões e insertos
- Verificação da existência de falhas ou defeitos
- Verificação da existência de fissuras
- Verificação da aparência quanto a rebarbas
- Verificação da homogeneidade e cor e textura
- 9062 - 5.2.2 - Tolerâncias de fabricação e montagem
</t>
    </r>
    <r>
      <rPr>
        <b/>
        <sz val="11"/>
        <color theme="1"/>
        <rFont val="Gomme Sans"/>
      </rPr>
      <t xml:space="preserve">&gt; ABNT NBR (Componentes e materiais agregados ao sistema):
</t>
    </r>
    <r>
      <rPr>
        <sz val="11"/>
        <color theme="1"/>
        <rFont val="Gomme Sans"/>
      </rPr>
      <t>- Concreto: Resistência à compressão 28 dias (ABNT NBR 5738 e 5739)
- Aço: ABNT NBR 7480
- Agregado graúdo e miúdo: ABNT NBR 7211
- Cimento: ABNT NBR 12655
- Graute: Resistência à compressão 28 dias (ABNT NBR 5738 e 5739)
- Argamassa polimérica: ABNT NBR 11905
- Dispositivo de apoio (Elastômero): ABNT NBR 19783 (Resistência à tração, compressão, envelhecimento, etc.)</t>
    </r>
  </si>
  <si>
    <t>Solicitação de relatórios e controles conforme requisitos normativos e contratuais.</t>
  </si>
  <si>
    <t>CONTRATADO</t>
  </si>
  <si>
    <t>T&amp;A</t>
  </si>
  <si>
    <t>Estrutura metálica</t>
  </si>
  <si>
    <t>&gt; ABNT NBR:
- 16373 (Telhas e painéis termoacústicos) - 5.2 - Dimensões e tolerâncias
- 16373 - 6.1 - Inspeção visual
- 16373 - 6.2 - Inspeção dimensional
- 14513 (Telhas de aço de seção ondulada e trapezoidal) - 5.4 - Verificação dimensional da telha trapezoidal
- 14513 - 5.5 - Verificação dimensional da telha ondulada
- 5884 (Perfil estrutural de aço) - 8.1 - Quantidade de perfis da amostra
- 5884 - 8.2 - Inspeção visual
- 5884 - 8.3 - Inspeção dimensional
- 5884 - Anexo A - Tolerâncias
- 16775 (Estruturas de aço) - 10 - Requisitos para gestão do processo de montagem de estruturas de aço
&gt; ABCEM
- Inspeção visual da pintura líquida e/ou em pó
- Inspeção visual da embalagem de proteção e transporte</t>
  </si>
  <si>
    <t>Solicitar relatório de ensaio e inspeção do fornecedor</t>
  </si>
  <si>
    <t>MEDABIL</t>
  </si>
  <si>
    <t>Certificado de qualidade ou relatório de ensaio conforme ABNT NBR 16373 e 14513</t>
  </si>
  <si>
    <t>- As inspeções e ensaios devem ser realizados em todos os lotes de entrega, sempre atrelados às suas respectivas notas fiscais
- Ao final do serviço, a empresa responsável deve entrgar relatório final de ensaios e inspeções consolidado 
- Todos os ensaios e inspeções devem ser acompanhados e registrados por responsáveis do setor interno de produção
&gt; Orientações ABCEM:
- Proteção com lona no contato entre cordas de amarração
- Não colocar cargaas em cima das telhas transportadas
- Em caso de descarga de peças por empilhadeira, as mesmas devem ter no máximo 7m de comprimento.
- Os materiais não devem ser arrastados</t>
  </si>
  <si>
    <t>PISO E PAVIMENTAÇÃO</t>
  </si>
  <si>
    <t>Piso de concreto</t>
  </si>
  <si>
    <r>
      <t xml:space="preserve">&gt; ABNT NBR:
em da central
- 5739 (Ensaio de compressão)
- 16938  </t>
    </r>
    <r>
      <rPr>
        <b/>
        <sz val="11"/>
        <color theme="1"/>
        <rFont val="Gomme Sans"/>
      </rPr>
      <t>(</t>
    </r>
    <r>
      <rPr>
        <sz val="11"/>
        <color theme="1"/>
        <rFont val="Gomme Sans"/>
      </rPr>
      <t>Concreto reforçado com fibras</t>
    </r>
    <r>
      <rPr>
        <b/>
        <sz val="11"/>
        <color theme="1"/>
        <rFont val="Gomme Sans"/>
      </rPr>
      <t>)</t>
    </r>
    <r>
      <rPr>
        <sz val="11"/>
        <color theme="1"/>
        <rFont val="Gomme Sans"/>
      </rPr>
      <t xml:space="preserve"> - 5 - Critérios para qualificação
- 16938 - 6.1 - Ensaios no estado fresco
- 16938 - 6.2 - Ensaios de resistência à compressão
-  16938 - 6.3 - Ensaios de resistência à tração
- 16938 - Anexo B - Determinação do teor de fibra no concreto
&gt; MEMORIAL LPE
1. CBR (A cada 1000 m²) - Subleito, reforço subleito.
2. Expansão (A cada 1000m²) - Subleito, reforço subleito
3. Densidade em laboratório (A cada 1000 m²) - Subleito, reforço subleito e sub-base.
4. Grau de compactação (In situ) (A cada 1000 m²) - Subleito, reforço subleito e sub-base.
5. Granulometria (A cada 200 m³) - Sub - Base
6. Espessura e Planicidade - Sub - Base</t>
    </r>
  </si>
  <si>
    <r>
      <rPr>
        <b/>
        <sz val="11"/>
        <color theme="1"/>
        <rFont val="Gomme Sans"/>
      </rPr>
      <t>Relatórios de ensaios e controles de:</t>
    </r>
    <r>
      <rPr>
        <sz val="11"/>
        <color theme="1"/>
        <rFont val="Gomme Sans"/>
      </rPr>
      <t xml:space="preserve">
1. Resistência à compressão simples (FCK): 7, 14 e 28 dias
2. Resistência à tração na flexão.
3. Abatimento (Slump) no momento do recebimento.
5. Adição de fibra estrutural (Quando aplicável)
6. Aplicação de ar incorporado
7. Relação A/C (Água cimento) </t>
    </r>
    <r>
      <rPr>
        <u/>
        <sz val="11"/>
        <color theme="1"/>
        <rFont val="Gomme Sans"/>
      </rPr>
      <t>&lt;</t>
    </r>
    <r>
      <rPr>
        <sz val="11"/>
        <color theme="1"/>
        <rFont val="Gomme Sans"/>
      </rPr>
      <t xml:space="preserve"> 0,47 (Conforme projeto).
9. Exsudação
10. Retração
12. Traço validado com projetista estrutural</t>
    </r>
    <r>
      <rPr>
        <b/>
        <sz val="11"/>
        <color theme="1"/>
        <rFont val="Gomme Sans"/>
      </rPr>
      <t xml:space="preserve">
</t>
    </r>
    <r>
      <rPr>
        <sz val="11"/>
        <color theme="1"/>
        <rFont val="Gomme Sans"/>
      </rPr>
      <t xml:space="preserve">13. Tempo de transporte e lançamento.
14. Cura durante execução do serviço.
15. Planicidade (FF e FL)
</t>
    </r>
    <r>
      <rPr>
        <b/>
        <sz val="11"/>
        <color theme="1"/>
        <rFont val="Gomme Sans"/>
      </rPr>
      <t>&gt; Normas para ensaios de caracterização da sub-base:</t>
    </r>
    <r>
      <rPr>
        <sz val="11"/>
        <color theme="1"/>
        <rFont val="Gomme Sans"/>
      </rPr>
      <t xml:space="preserve">
&gt; CBR - NBR 9895
&gt; Expansão - NBR 9895
&gt; Densidade - NBR 7182
&gt; Grau de compactação - NBR 9813,12102,7185
&gt; Granulometria - DNIT 141/10</t>
    </r>
  </si>
  <si>
    <t xml:space="preserve"> </t>
  </si>
  <si>
    <t>1. Nota fiscal  de entrega
2. Carta de traço entregue no recebimento do material
3. Relatório de rompimento de corpo de prova normatizado pela ABNT NBR 5739, em 7, 14 e 28 dias de cura.
4. Formulários e checklists de acompanhamento de serviço
5. Relatórios dos demais ensaios normatizados pelas NBR's especificadas na coluna "Requisitos associados"</t>
  </si>
  <si>
    <t>- O concreto só deve ser lançado após apresentação e validação da carta de traço utilizada para dosagem.
- Todo concreto lançado deve ser mapeado e anexado à rastreabilidade de concreto (Digital  ou fisicamente)
- Resultados abaixo do especificado em projeto devem ser seguidos por consulta ao estruturalista responsável pelo projeto.
- Todas as tratativas com estruturalistas deve ser formalizada e arquivada.
Obs.: Todo mapeamento de concreto deve estar atrelado à nota fiscal de remessa da betoneira responsável pelo transporte do material</t>
  </si>
  <si>
    <t>Intertravado</t>
  </si>
  <si>
    <t>&gt; ABNT NBR:
- 15953 (Pavimento intertravado com peças de concreto - 5.4 - Camada de assentamento:
1. Umidade do material
2. Uniformidade de espessura
3. Dimensão do material de assentamento
- 15953 - 5.5 - Material de rejuntamento (Espessura das juntas)
- 15953 - 6.7 - Compactação
&gt; MEMORIAL LPE
1. CBR (A cada 1000 m²) - Subleito, reforço subleito e sub-base
2. Expansão (A cada 1000m²) - Subleito, reforço subleito e sub-base
3. Densidade em laboratório (A cada 1000 m²) - Subleito, reforço subleito e sub-base e base
4. Grau de compactação (In situ) (A cada 1000 m²) - Subleito, reforço subleito e sub-base e base
5. Granulometria (A cada 200 m³) - Base
6. Espessura e Planicidade - Base</t>
  </si>
  <si>
    <r>
      <rPr>
        <b/>
        <sz val="11"/>
        <color theme="1"/>
        <rFont val="Gomme Sans"/>
      </rPr>
      <t>Relatórios de ensaios conforme normas respectivas</t>
    </r>
    <r>
      <rPr>
        <sz val="11"/>
        <color theme="1"/>
        <rFont val="Gomme Sans"/>
      </rPr>
      <t xml:space="preserve">
&gt; CBR - NBR 9895
&gt; Expansão - NBR 9895
&gt; Densidade - NBR 7182
&gt; Grau de compactação - NBR 9813,12102,7185
&gt; Granulometria - DNIT 141/10</t>
    </r>
  </si>
  <si>
    <t>Relatórios/certificados conforme ABNT NBR 15953</t>
  </si>
  <si>
    <t>Pavimentação asfáltica</t>
  </si>
  <si>
    <t>&gt; DNIT
- 184: Resistência à deformação permanente
- 183: Ensaio de fadiga por compressão diametral
- 180: Determinação do dano por umidade induzida
- 179: Determinação da deformação permanente
- 136: Determinação da resistência à tração por compressão diametral
- 135: Determinação do módulo de resiliência
- 172: Determinação do índice de suporte califórnia
- 170: Determinação de deflexões 
- 155: Determinação da penetração
&gt; ABNT NBR
- 5692: Esmalte de asfalto: Absorção de água
- 5691: Esmalte de asfalto: Escorrimento
- 5695: Esmalte de asfalto: Aderência
- 5696: Esmalte de asfalto: Fluência
- 5693: Esmalte de asfalto: Sedimentação
- 5694: Esmalte de asfalto: Resistência ao deslocamento</t>
  </si>
  <si>
    <t>Relatórios/certificados conforme respectivas NBR's e especificações do DNIT</t>
  </si>
  <si>
    <t>ANCORAGEM</t>
  </si>
  <si>
    <t>Sistema de proteção contra quedas de altura - Platibandas</t>
  </si>
  <si>
    <t>15575-5 - 9.2.2 - Anexo F - Resistência das platibandas
Ancoragem parabolt - Tipo A, B e D
16325-1 - 5.2 Ensaio de força estática
16325-1 - 5.3 Ensaio de força dinâmica e de integridade
16325-1 - 5.4 Ensaio de deformação
16325-1 - 5.5 Ensaio de corrosão
Ancoragem parabolt - Tipo C
16325-2 - 5.2 Ensaio de força estática
16325-2 - 5.3 Ensaio de força dinâmica e de integridade
16325-2 - 5.4 Ensaio de deformação
16325-2 - 5.5 Ensaio de corrosão</t>
  </si>
  <si>
    <t>Ensaiar conforme amostragem definida pela norma.</t>
  </si>
  <si>
    <t>Certificado de qualidade e/ou relatório de ensaio conforme normas especificadas na coluna "Requisitos associados"</t>
  </si>
  <si>
    <t>Insertos / Chumbadores</t>
  </si>
  <si>
    <t>15846 - A.3.2.2.5 - Arrancamento
14827 - 8 - Ensaios estáticos
14827 - 9 - Ensaios sísmicos
14827 - 10 - Ensaios de fadiga
14827 - 11 - Ensaios de choque</t>
  </si>
  <si>
    <t>FORNECEDOR</t>
  </si>
  <si>
    <t>REVESTIMENTO</t>
  </si>
  <si>
    <t>Revestimento interno e externo - Placas cerâmicas, porcelanato e pastilhas</t>
  </si>
  <si>
    <r>
      <rPr>
        <b/>
        <sz val="11"/>
        <color theme="1"/>
        <rFont val="Gomme Sans"/>
      </rPr>
      <t>&gt; ABNT NBR (Revestimento de paredes externas)</t>
    </r>
    <r>
      <rPr>
        <sz val="11"/>
        <color theme="1"/>
        <rFont val="Gomme Sans"/>
      </rPr>
      <t xml:space="preserve">
- 13755 - 7.2.6 - Anexo A - Resistência de aderência
- 13755 - 7.2.6 - Anexo B - Resistência superficial emboço
</t>
    </r>
    <r>
      <rPr>
        <b/>
        <sz val="11"/>
        <color theme="1"/>
        <rFont val="Gomme Sans"/>
      </rPr>
      <t>&gt; ABNT NBR (Revestimento de paredes internas)</t>
    </r>
    <r>
      <rPr>
        <sz val="11"/>
        <color theme="1"/>
        <rFont val="Gomme Sans"/>
      </rPr>
      <t xml:space="preserve">
- 13754 - 6 - Critérios de conformidade
- 13754 - Anexo A - Determinação da aderência de revestimentos cerâmicos assentados com argamassa colante 
</t>
    </r>
    <r>
      <rPr>
        <b/>
        <sz val="11"/>
        <color theme="1"/>
        <rFont val="Gomme Sans"/>
      </rPr>
      <t>&gt; ABNT NBR (Revestimento de pisos internos e externos)</t>
    </r>
    <r>
      <rPr>
        <sz val="11"/>
        <color theme="1"/>
        <rFont val="Gomme Sans"/>
      </rPr>
      <t xml:space="preserve">
- 13753 - Anexo A - Determinação da aderência de revestimentos cerâmicos assentados com argamassa colante </t>
    </r>
  </si>
  <si>
    <r>
      <rPr>
        <b/>
        <sz val="11"/>
        <color theme="1"/>
        <rFont val="Gomme Sans"/>
      </rPr>
      <t>&gt;</t>
    </r>
    <r>
      <rPr>
        <sz val="11"/>
        <color theme="1"/>
        <rFont val="Gomme Sans"/>
      </rPr>
      <t xml:space="preserve"> </t>
    </r>
    <r>
      <rPr>
        <b/>
        <sz val="11"/>
        <color theme="1"/>
        <rFont val="Gomme Sans"/>
      </rPr>
      <t>Revestmento de paredes externas:</t>
    </r>
    <r>
      <rPr>
        <sz val="11"/>
        <color theme="1"/>
        <rFont val="Gomme Sans"/>
      </rPr>
      <t xml:space="preserve"> Ensaios de aderência conforme amostragem da tabela 03 da ABNT NBR 13755
</t>
    </r>
    <r>
      <rPr>
        <b/>
        <sz val="11"/>
        <color theme="1"/>
        <rFont val="Gomme Sans"/>
      </rPr>
      <t xml:space="preserve">&gt; Revestimento de paredes e pisos internos: </t>
    </r>
    <r>
      <rPr>
        <sz val="11"/>
        <color theme="1"/>
        <rFont val="Gomme Sans"/>
      </rPr>
      <t>Ensaios de aderência conforme ABNT NBR 13753 e 13754 
Obs.: Amostragem não é definida por norma, porém, orienta-se a execução de testes de som cavo para seleção das àreas de teste.</t>
    </r>
  </si>
  <si>
    <r>
      <rPr>
        <b/>
        <sz val="11"/>
        <color theme="1"/>
        <rFont val="Gomme Sans"/>
      </rPr>
      <t>&gt; Orientações normativas para execução dos ensaios:
-</t>
    </r>
    <r>
      <rPr>
        <sz val="11"/>
        <color theme="1"/>
        <rFont val="Gomme Sans"/>
      </rPr>
      <t xml:space="preserve"> Superfície de ensaio deve ser limpa e desimpedida
- Amostras quadradas devem ter dimensões de 100mm
- Após colagem das pastilhas verticais (Partedes), deve-se sustentá-las através de fita crepe e/ou escora plástica</t>
    </r>
    <r>
      <rPr>
        <b/>
        <sz val="11"/>
        <color theme="1"/>
        <rFont val="Gomme Sans"/>
      </rPr>
      <t xml:space="preserve">
- </t>
    </r>
    <r>
      <rPr>
        <sz val="11"/>
        <color theme="1"/>
        <rFont val="Gomme Sans"/>
      </rPr>
      <t>O arrancamento das pastilhas só pode ser realizado após cura total da cola de aderência (Tempo de cura aproximado: 01 hora após colagem)</t>
    </r>
  </si>
  <si>
    <t>Aplicação de argamassa inorgânica - Reboco (Paredes e teto)</t>
  </si>
  <si>
    <t>13749 - 5.7 - Ensaio de aderência à tração
13528 - Resistência de aderência à tração</t>
  </si>
  <si>
    <t>Ensaios de aderência conforme ABNT NBR 13749 e 13528, conforme amostragem definida:
- Amostragem deve ser dfinida após teste de som cavo 
- 12 corpos de prova a cada 100m² de revestimento
Obs.: Caso sejam identificados mais trechos com falhas de aderência através do ensaio de som cavo, os mesmos também podem ser selecionados para amostragem</t>
  </si>
  <si>
    <t>Realizar ensaio no revestimento com idade de 28 dias no caso de argamassas mistas ou de cimento e areia e de 56 dias para argamassas de cal e areia. Se o ensaio for realizado em outra idade, esta deve ser registrada no relatório de ensaio.</t>
  </si>
  <si>
    <t>VEDAÇÃO</t>
  </si>
  <si>
    <t>Guarda Corpo e Parapeito</t>
  </si>
  <si>
    <t>15575-4 - 7.7 - Cargas de ocupação:
14718 - 5.1 - Anexo A -  Esforço estático horizontal
14718 - 5.2 - Anexo B - Esforço estático vertical
14718 - 5.3 - Anexo C - Resistência a impactos</t>
  </si>
  <si>
    <t>Ensaiar um guarda corpo de cada tipologia da obra (*)</t>
  </si>
  <si>
    <t>(*) Caso a obra possua projeto do Guarda Corpo  com memorial de dimensionamento e ART específica, não é necessário realizar os ensaios citados.</t>
  </si>
  <si>
    <t>SISTEMA</t>
  </si>
  <si>
    <t>Sistema de esquadrias</t>
  </si>
  <si>
    <t>&gt; ABNT NBR 
- 10821-2 - 4 - Requisitos
- 10821 -2 - Anexo C - Nível de desempenho das esquadrias quanto à permeabilidade do ar
- 10821- 2 - 6.2.2 - Estanqueidade à água</t>
  </si>
  <si>
    <t>Ensaio realizado por tipo de produto, com algumas observações da ABNT NBR 10821:
- Corpo de prova deve ser idêntico à esquadria avaliada
- Todos os detalhes de projeto ou manual do fabricante devem ser replicados</t>
  </si>
  <si>
    <t>IMPERMEABILIZAÇÃO</t>
  </si>
  <si>
    <t>Estanqueidade Áreas molhadas e molháveis</t>
  </si>
  <si>
    <t>9574 - 5.6 - Ensaio estanqueidade
Pisos:
15575-3 - 10.4 - Estanqueidade - áreas molhadas
15575-3 - 14.2 - Anexo C - Resistência à umidade - áreas molhadas e molháveis
Coberturas:
15575-5 - 10.1 - Impermeabilidade - Fibrocimento
15575-6 - 10.2 / Anexo D - Estanqueidade à água do SC</t>
  </si>
  <si>
    <t>Solicitar laudo ao fornecedor após cada teste para retenção da informação.</t>
  </si>
  <si>
    <t>ELEVADORES</t>
  </si>
  <si>
    <t>Teste de Freio (Elevadores)</t>
  </si>
  <si>
    <t>ABNT NBR 16042</t>
  </si>
  <si>
    <t>Certificado de qualidade conforme
 ABNT NBR 16042</t>
  </si>
  <si>
    <t>INCÊNDIO</t>
  </si>
  <si>
    <t>Execução de sistema de prevenção de incêndio</t>
  </si>
  <si>
    <t>&gt; ABNT NBR
- 17240 - 8.1.11 - Ensaios de campo para comissionamento de sistemas de detectores de chama
- 17240 - Figura 01 a 13 - Requisitos para detector de fumaça
- 17240 - Figura 14 a 18 - Requisitos para detector de temperatura
- 10898 - Sistema de iluminação de emergência
-  9441 - Alarme de incêncdio e detecção
- 10897 - Sistemas de proteção contra incêndio por chuveiros automáticos
&gt; IT's (Instruções técncias) - Corpo de bombeiros:
- 06 (Acesso de viatura), 09 (Compartimentação horizontal e vertical), 10 (Controle de materiais de acabamento), 11 (Saídas de emergência), 18 (Iluminação de emergência), 19 (Sistema de detecção e alarme de incêndio), 20 (Sinalização de emergência), 21 (Extintores), 22 (Hidrantes), 23 (Chuveiros automáticos)</t>
  </si>
  <si>
    <t>Certificado de qualidade conforme
 ABNT NBR 17240</t>
  </si>
  <si>
    <t>HIDROSSANITÁRIO</t>
  </si>
  <si>
    <t>Limpeza de Redes</t>
  </si>
  <si>
    <t>5626 - 6.5.3 Limpeza e desobstrução das redes de esgoto</t>
  </si>
  <si>
    <t xml:space="preserve">Relatório de ensaio com ART do fornecedor </t>
  </si>
  <si>
    <t>Relatório de ensaio entregue pelo fornecedor, conforme ABNT NBR 5626</t>
  </si>
  <si>
    <t>Estanqueidade de Redes</t>
  </si>
  <si>
    <t>9814 - 5.12 Ensaios de estanqueidade (hidrostático)</t>
  </si>
  <si>
    <t>Relatório de ensaio entregue pelo fornecedor, conforme ABNT NBR 9814</t>
  </si>
  <si>
    <t>Limpeza de instalações</t>
  </si>
  <si>
    <t>5626 - 6.5 Limpeza e desinfecção 
Portaria Ministério da Saúde 2914/2011 e Lei Estadual 9751/1992 - Laudo de potabilidade e limpeza dos reservatórios</t>
  </si>
  <si>
    <t>Estanqueidade de Instalações</t>
  </si>
  <si>
    <t>Água Fria
5626 - 6.3.3 Estanqueidade tubulações
5626 - 6.3.4 Estanqueidade peças de utilização
Água Quente
7198 - 6.1.1.1 Estanqueidade tubulações
Esgoto
8160 - Anexo G - G.2.1 Ensaio com água
8160 - Anexo G - G.2.2 Ensaio com ar
8160 - Anexo G - G.2.3 Ensaio final com fumaça</t>
  </si>
  <si>
    <t>Relatório de ensaio entregue pelo fornecedor, conforme respectiva NBR especificada na coluna "Requisitos associados"</t>
  </si>
  <si>
    <t>Esgoto:
Ensaio com água e ar: Depois de feita a inspeção final e antes da colocação de qualquer aparelho.
Ensaio com fumaça: Após a colocação dos aparelhos sanitários.</t>
  </si>
  <si>
    <t>VENTILAÇÃO/
EXAUSTÃO</t>
  </si>
  <si>
    <t>Execução de sistema de ventilação e exaustão</t>
  </si>
  <si>
    <t>&gt; ABNT NBR 
- 16401 - 1 (Instalações de ar condicionado) - 16 - Ensaios e aprovação
- 15848 (Sistemas de ar condicionado e ventilação) - Anexo A - Parâmetros para a limpeza de dutos
- 15848 - Anexo B - Metodologia de ensaio para avaliar a necessidade de limpeza e a validação da limpeza dos dutos
- 15848 - Anexo B.1 - Teste de aspiração
- 16655 (Procedimento para ensaio de estanqueidade, desidratação e carga de fluido frigorífico) - 4.8.1 - Verificação de vazamento à baixa pressão
- 16655 - 4.8.2 - Verificação de vazamento à média pressão
- 16655 - 4.8.3 - Verificação da resistência mecânica
- 16655 - 4.8.4 - Verificação de microvazamento
- 16655 - 4.10 - Carga de fluido frigorífico
- 13598 (Vasos de pressão para refrigeração) - 9 - Ensaios de fabricação
- 13598 - 11.2 - Pressurização para proteção</t>
  </si>
  <si>
    <t>&gt; Limpeza dos dutos: Execução de ensaio conforme amostragem/aplicabilidade definda no item 1 do anexo A da ABNT NBR 15848
&gt; Teste de aspiração: Execução de teste/ensaio conforme amostragem/ aplicabilidade definida no item 1 do anexo B da ABNT NBR 15848 e 13598 (Quando aplicável)
&gt; Ensaio de estanqueidade: Instalação de manômetro com aplicação de fluído e pressão especificados no item 4.8 da ABNT NBR 16655</t>
  </si>
  <si>
    <t>Certificado de qualidade conforme
 respectiva ABNT NBR descrita na coluna "Requisitos associados"</t>
  </si>
  <si>
    <t>DRENAGEM</t>
  </si>
  <si>
    <t>Execução de Tunnel Liner</t>
  </si>
  <si>
    <t>&gt; ABNT NBR
- 17015 (Execução de obras lineares para transporte de água) - 5.5.6 - Verificaçao da estanqueidade
- 17015 - 5.6.5 - Ensaio de juntas (Através de ensaio hidrostático ou ensaio de fumaça)
- 17015 - Anexo A - 3.2 - Prazo de utilização
- 16091 (Estruturas flexíveis em chapas múltiplas de aço corrugada) - 4.1.5 - Entrega de certificados de qualidade (A serem cobrados durante a entrega)
- 16091 - 4.3.1 - Revestimentos (Requisitos) - Galvanizado
&gt; Memorial descritivo (Doto Engenharia)
- Item 7 a 20 - Parâmetros e métodos executivos
- 19.2 - Medição e controle (Verificação de declividade e alinhamento): Verificação topográfica de pontos definidos para controle de deformações e formas circulares</t>
  </si>
  <si>
    <t xml:space="preserve">Laudo de ensaio e relatório de serviço com ART do fornecedor </t>
  </si>
  <si>
    <t>Certificado de qualidade conforme
 respectiva ABNT NBR 17015</t>
  </si>
  <si>
    <t>GÁS</t>
  </si>
  <si>
    <t>Redes de Gás</t>
  </si>
  <si>
    <t>15526 - 8.1a - Ensaio estanqueidade redes
15526 - 8.1a - Ensaio estanqueidade prumadas
15526 - 8.1b - Teste de litragem nas instalações dos medidores</t>
  </si>
  <si>
    <t>Solicitar relatório técnico com ART do ensaio de estanqueidade e teste de litragem do fornecedor</t>
  </si>
  <si>
    <t>- Estanqueidade Redes: Antes chumbamento
- Estanqueidade Prumadas: Antes fechamento shafts
- Litragem: Assim que a rede primária de gás estiver comissionada</t>
  </si>
  <si>
    <t>ELÉTRICA</t>
  </si>
  <si>
    <t>Instalações elétricas</t>
  </si>
  <si>
    <t>&gt; NBR IEC 60947 - Dispositivo de manobra e comando de baixa tensão
&gt;  NBR IEC 604439.1 - Quadros de manobras
&gt; ABNT NBR 5410 - Instalaçãoes elétricas de baixa tensão
&gt; ABNT NBR 14039 - Instalações elétricas de média tensão (Quando aplicável)
&gt; ABNT NBR 13570 - Instalações elétricas em locais de afluência de público
&gt; ABNT NBR 5413 - Iluminância de interiores
&gt; NR 10 - Instalações e serviços em eletricidade</t>
  </si>
  <si>
    <t>Monitoramento, inspeção e ensaios do fornecedor/executor</t>
  </si>
  <si>
    <t>Certificados e laudos de relatórios conforme respectivas normas</t>
  </si>
  <si>
    <t>SPDA</t>
  </si>
  <si>
    <t>&gt; ABNT NBR
- 5419-1: SPDA (Princípios gerais) - Anexo A.2 - Parâmetros da corrente da descarga atmosférica
- 5419-1 - Anexo C.2 - Simulação da energia específica do primeiro impulso positivo e da carga da componente longa
- 5419-1 - Anexo C.3 - Simulação da taxa de variação da frente de onda de corrente dos impulsos
- 5419-1 - Anexo D - Parâmetros de ensaio para simular os efeitos da descarga atmosférica sobre os componentes do SPDA
- 5419-3 - Danos físicos a estruturas e perigos à vida - 7.3.2 
a) Deterioração e corrosão dos elementos
b) Condição das equipotencializações
c) Corrosão dos eletrodos de aterramento
d) Integridade física dos condutores 
- 5419-3 - Anexo F - Ensaio de continuidade elétrica das armaduras</t>
  </si>
  <si>
    <t>Execução de ensaios conforme ABNT NBR 5419</t>
  </si>
  <si>
    <t>Certificado/relatório de ensaio conforme em atendimento à ABNT NBR 5419</t>
  </si>
  <si>
    <t>TOPOGRAFIA</t>
  </si>
  <si>
    <t>Marcação e locação topográfica</t>
  </si>
  <si>
    <t>&gt; Interno
- Calibração de equipamentos de medição (Precisões conforme ISO 17123)
&gt; ABNT NBR
- 13133 (Execução de levantamento topográfico) - 4.2 - Precisão de instrumentos básicos
- 13133 - 5.5.2 - Nivelamento geométrico (Tolerâncias)
- 13133 - 5.5.3 - Nivelamento trigonométrico (Tolerâncias)
- 13133 - 7.2 - Aceitação relativa ao levantamento topográfico na sua parte planimétrica de pontos
- 13133 - 7.3 - Aceitação relativa à altimetria do levantamento topográfico</t>
  </si>
  <si>
    <t>Entrega de Certificado de calibração e aferição do fornecedor/parceiro</t>
  </si>
  <si>
    <t>Certificado de qualidade conforme ABNT NBR 13133</t>
  </si>
  <si>
    <t>FINAL DE OBRA</t>
  </si>
  <si>
    <t>Documentações de final de obra</t>
  </si>
  <si>
    <t>- Laudo técnico de entrega do condomínio, responsabilidades e garantias
- Laudo de detetização da obra pré entrega
- Entega de databooks(Consolidado de certificados, laudos e relatórios) por parte dos parceiros
Obs.: Databooks devem conter (Quando aplicável):
- ART do responsável técnico das atividades
- Laudos de inspeção dos serviços
- Certificados de calibração e/ou inspeção dos equipamentos utilizados
- Certificados de materiais utilizados nos sistemas
- Relatórios de ensaios exigidos pelas respectivas normas</t>
  </si>
  <si>
    <t>CONSTRUTORA
CONSUL</t>
  </si>
  <si>
    <t>Entrega de laudos, certificados e relatórios consolidados por parte dos parceiros responsáveis
Obs.: Laudos e relatórios devem ser acompanhados de ART do responsável técnico</t>
  </si>
  <si>
    <t>ACÚSTICA</t>
  </si>
  <si>
    <t>Desempenho Acústico de Sistemas</t>
  </si>
  <si>
    <t>Pisos
15575-3 - 12.3 - Medição de ruído aéreo em sistemas de pisos
15575-3 - 12.3 - Medição de ruído de impacto em sistemas de pisos
SVVIE (Sistemas de Vedação Vertical Interna e Externa)
15575-4 - 12.3 - Medição de isolamento acústico entre sistemas de vedações verticais externas
15575-4 - 12.3 - Medição de isolamento acústico entre sistemas de vedações verticais internas</t>
  </si>
  <si>
    <t>Realização de ensaio em protótipo ou modelo por empresa especializada contratada</t>
  </si>
  <si>
    <t>Certificado de qualidade e/ou relatório de ensaio conforme norma de desempenho</t>
  </si>
  <si>
    <t>Realizar ensaios:
Ruído Aéreo:
▪ Sistema de piso separando unidades habitacionais autônomas de áreas comuns de uso coletivo, para atividades de lazer e esportivas, tais como home theater, salas de ginástica, salão de festas, salão de jogos, banheiros e vestiários coletivos, cozinhas e lavanderias coletivas.
Exemplo: Emissor: Salão de Festas / Receptor: Suíte 301
▪ Sistema de piso entre unidades habitacionais autônomas, no caso de pelo menos um ambiente ser dormitório. 
Exemplo: Emissor: Suíte 201 / Receptor: Suíte 301
Ruído de Impacto:
▪ Sistema de piso separando unidades habitacionais autônomas posicionadas em pavimentos distintos.
Exemplo: Emissor: Suíte 201 / Receptor: Suíte 301
Medição de Isolamento:
▪ Isolamento acústico em sistemas de vedações verticais externas
Exemplo: Receptor: Suíte 201</t>
  </si>
  <si>
    <t>LUMÍNICO</t>
  </si>
  <si>
    <t>Desempenho Lumínico de Sistemas</t>
  </si>
  <si>
    <t>15575-1 - 13.2.1 - Simulação: Níveis mínimos de iluminância natural (23/abr e 23/out)
15575-1 - 13.2.3 - Medição in loco: Fator de Luz Diurna - FLD (9h e 15h)</t>
  </si>
  <si>
    <t>Contratar ensaios de simulação de iluminância natural (23/abr e 23/out) e fator de luz diurna (9h e 15h).</t>
  </si>
  <si>
    <t>Ambientes: sala de estar, dormitório, copa/cozinha e área de serviço.</t>
  </si>
  <si>
    <t>TÉRMICO</t>
  </si>
  <si>
    <t>Desempenho Térmico</t>
  </si>
  <si>
    <t>SVVE - Simplificado
15575-4 - 11.2.1 - Transmitância térmica de paredes externas
15575-4 - 11.3.1 - Capacidade térmica de paredes externas
Cobertura - Simplificado
15575-5 - 11.2.1 - Transmitância Térmica</t>
  </si>
  <si>
    <t>Contratar ensaio de desempenho térmico, para recintos de permanência prolongada.</t>
  </si>
  <si>
    <t>Métodos de ensaio:
▪ 15575-1 - Simplificado: Atendimento aos requisitos e critérios para o envelopamento da obra, com base na transmitância térmica (U) e capacidade térmica (CT) das paredes de fachada (SVVE) e das coberturas.
▪ 15575-1 - Simulação Computacional: Para os casos em que os valores obtidos para a transmitância térmica e/ou capacidade térmica se mostrarem insatisfatórios frente ao método simplificado.
▪ 15575-1 - Medição in loco: Medições em edificações existentes ou protótipos construídos. Tem caráter meramente informativo e não se sobrepõe ao método simplificado ou a simulação computacional.</t>
  </si>
  <si>
    <r>
      <t xml:space="preserve">- Execução de ensaios laboratoriais e in loco conforme especificado por norma.
</t>
    </r>
    <r>
      <rPr>
        <b/>
        <sz val="11"/>
        <color theme="1"/>
        <rFont val="Gomme Sans"/>
      </rPr>
      <t xml:space="preserve">- Para corpo de aterro: </t>
    </r>
    <r>
      <rPr>
        <sz val="11"/>
        <color theme="1"/>
        <rFont val="Gomme Sans"/>
      </rPr>
      <t xml:space="preserve">01 ensaio de compactação a cada 1000m³ lançados
</t>
    </r>
    <r>
      <rPr>
        <b/>
        <sz val="11"/>
        <color theme="1"/>
        <rFont val="Gomme Sans"/>
      </rPr>
      <t>- Para camada final de aterro:</t>
    </r>
    <r>
      <rPr>
        <sz val="11"/>
        <color theme="1"/>
        <rFont val="Gomme Sans"/>
      </rPr>
      <t xml:space="preserve"> 01 ensaio de compactação para cada 200m³ lançados
- 01 ensaio de granulometria, liquidez e plasticidade para cada amostra submetida aos ensaios de compactação
- 01 ensaio de CBR para cada 04 amostras da camada final de aterro</t>
    </r>
  </si>
  <si>
    <r>
      <rPr>
        <b/>
        <sz val="11"/>
        <color theme="1"/>
        <rFont val="Gomme Sans"/>
      </rPr>
      <t>Em caso de uso de tela de aço:</t>
    </r>
    <r>
      <rPr>
        <sz val="11"/>
        <color theme="1"/>
        <rFont val="Gomme Sans"/>
      </rPr>
      <t xml:space="preserve">
&gt; ABNT NBR:
- 7481 (Telas de aço) - 5.1 - Ensaio de tração
- 7481 - 5.2 - Ensaio de dobramento
- 7481 - 5.3 - Ensaio de cisalhamento
</t>
    </r>
    <r>
      <rPr>
        <b/>
        <sz val="11"/>
        <color theme="1"/>
        <rFont val="Gomme Sans"/>
      </rPr>
      <t>Demais materiais:</t>
    </r>
    <r>
      <rPr>
        <sz val="11"/>
        <color theme="1"/>
        <rFont val="Gomme Sans"/>
      </rPr>
      <t xml:space="preserve">
&gt; ABNT NBR:
- 7212 (Concreto dosado em central) - 5.5 - Dosagem dos materiais
- 7212 - 6.1 - Certificação das empresas de serviços de concretagem
- 7212 - 6.5 - Carta de traço
- 7212 - 7 - Controle do processo de dosagem da central
- 5739 (Ensaio de compressão)
- 16938  (Concreto reforçado com fibras) - 5 - Critérios para qualificação
- 16938 - 6.1 - Ensaios no estado fresco
- 16938 - 6.2 - Ensaios de resistência à compressão
-  16938 - 6.3 - Ensaios de resistência à tração
- 16938 - Anexo B - Determinação do teor de fibra no concreto
- 7222 (Concreto e argamassa - Determinação da resistência à tração) </t>
    </r>
  </si>
  <si>
    <r>
      <rPr>
        <b/>
        <sz val="11"/>
        <color theme="1"/>
        <rFont val="Gomme Sans"/>
      </rPr>
      <t>Relatórios de ensaios e controles de:</t>
    </r>
    <r>
      <rPr>
        <sz val="11"/>
        <color theme="1"/>
        <rFont val="Gomme Sans"/>
      </rPr>
      <t xml:space="preserve">
1. Resistência à compressão simples (FCK): 7, 14 e 28 dias
2. Resistência à tração na flexão.
3. Abatimento (Slump) no momento do recebimento.
4. Teor de argamassa entre 49% e 52% (Conforme projeto).
5. Adição de fibra estrutural (Quando aplicável)
6. Aplicação de ar incorporado
7. Relação A/C (Água cimento) </t>
    </r>
    <r>
      <rPr>
        <u/>
        <sz val="11"/>
        <color theme="1"/>
        <rFont val="Gomme Sans"/>
      </rPr>
      <t>&lt;</t>
    </r>
    <r>
      <rPr>
        <sz val="11"/>
        <color theme="1"/>
        <rFont val="Gomme Sans"/>
      </rPr>
      <t xml:space="preserve"> 0,47 (Conforme projeto).
8. Tenacidade
9. Exsudação
10. Retração
11. Uso de aditivo.
12. Traço validado com projetista estrutural</t>
    </r>
    <r>
      <rPr>
        <b/>
        <sz val="11"/>
        <color theme="1"/>
        <rFont val="Gomme Sans"/>
      </rPr>
      <t xml:space="preserve">
</t>
    </r>
    <r>
      <rPr>
        <sz val="11"/>
        <color theme="1"/>
        <rFont val="Gomme Sans"/>
      </rPr>
      <t>13. Tempo de transporte e lançamento.
14. Cura durante execução do serviço.
15. Planicidade (FF e FL)</t>
    </r>
  </si>
  <si>
    <t>&gt; ABNT NBR:
- 15953 (Pavimento intertravado com peças de concreto - 5.4 - Camada de assentamento:
1. Umidade do material
2. Uniformidade de espessura
3. Dimensão do material de assentamento
- 15953 - 5.5 - Material de rejuntamento (Espessura das juntas)
- 15953 - 6.7 - Compactação</t>
  </si>
  <si>
    <t>CÓDIGO</t>
  </si>
  <si>
    <t>STATUS</t>
  </si>
  <si>
    <t xml:space="preserve">REVISÃO </t>
  </si>
  <si>
    <t>PRAZO DE REVISÃO (DIAS)</t>
  </si>
  <si>
    <t>DISTRIBUIÇÃO</t>
  </si>
  <si>
    <t>OPERACIONAL</t>
  </si>
  <si>
    <t>APROVADO</t>
  </si>
  <si>
    <t>EM REVISÃO</t>
  </si>
  <si>
    <t>EM ELABORAÇÃO</t>
  </si>
  <si>
    <t>NA</t>
  </si>
  <si>
    <t>CI</t>
  </si>
  <si>
    <t>CE</t>
  </si>
  <si>
    <t>CI/CE</t>
  </si>
  <si>
    <r>
      <rPr>
        <b/>
        <sz val="11"/>
        <color theme="1"/>
        <rFont val="Calibri Light"/>
        <family val="2"/>
        <scheme val="major"/>
      </rPr>
      <t>CI =</t>
    </r>
    <r>
      <rPr>
        <sz val="11"/>
        <color theme="1"/>
        <rFont val="Calibri Light"/>
        <family val="2"/>
        <scheme val="major"/>
      </rPr>
      <t xml:space="preserve"> CÓPIA IMPRESSA</t>
    </r>
  </si>
  <si>
    <r>
      <rPr>
        <b/>
        <sz val="11"/>
        <color theme="1"/>
        <rFont val="Calibri Light"/>
        <family val="2"/>
        <scheme val="major"/>
      </rPr>
      <t>CE =</t>
    </r>
    <r>
      <rPr>
        <sz val="11"/>
        <color theme="1"/>
        <rFont val="Calibri Light"/>
        <family val="2"/>
        <scheme val="major"/>
      </rPr>
      <t xml:space="preserve"> CÓPIA ELETRÔNICA</t>
    </r>
  </si>
  <si>
    <r>
      <rPr>
        <b/>
        <sz val="11"/>
        <color rgb="FF000000"/>
        <rFont val="Calibri Light"/>
        <family val="2"/>
        <scheme val="major"/>
      </rPr>
      <t>NA</t>
    </r>
    <r>
      <rPr>
        <sz val="11"/>
        <color rgb="FF000000"/>
        <rFont val="Calibri Light"/>
        <family val="2"/>
        <scheme val="major"/>
      </rPr>
      <t xml:space="preserve"> - NÃO SE APLICA</t>
    </r>
  </si>
  <si>
    <t>REAPROVADO SEM ALTERAÇÃO (VER NOTA)</t>
  </si>
  <si>
    <t xml:space="preserve">ACOMPANHAMENTO DE DOCUMENTOS </t>
  </si>
  <si>
    <t xml:space="preserve">STATUS </t>
  </si>
  <si>
    <t>CONTAGEM</t>
  </si>
  <si>
    <t>LISTA MESTRA</t>
  </si>
  <si>
    <t>OBSERVAÇÃO</t>
  </si>
  <si>
    <t>ADM.</t>
  </si>
  <si>
    <t>LEGENDA:</t>
  </si>
  <si>
    <t>DOCUMENTO QUE SE APLICA</t>
  </si>
  <si>
    <t>DATA DE APROVAÇÃO/ REAPROVAÇÃO</t>
  </si>
  <si>
    <t>REV.07</t>
  </si>
  <si>
    <t>DATA DE APROVAÇÃO: 11/05/2026</t>
  </si>
  <si>
    <t>CDE-PSC</t>
  </si>
  <si>
    <t>CQS-PSC</t>
  </si>
  <si>
    <t>EVS-PSC</t>
  </si>
  <si>
    <t>ISSGQ</t>
  </si>
  <si>
    <t>LP- PSC</t>
  </si>
  <si>
    <t>MCQ</t>
  </si>
  <si>
    <t>ATA DE ANÁLISE CRÍTICA</t>
  </si>
  <si>
    <t>5.0.1.1</t>
  </si>
  <si>
    <t>ATA DE ABERTURA DE OS</t>
  </si>
  <si>
    <t>5.0.2-1</t>
  </si>
  <si>
    <t>RESULTADOS DOS INDICADORES DE DESEMPENHO DO SGQ</t>
  </si>
  <si>
    <t>ORGANOGRAMA PSC</t>
  </si>
  <si>
    <t>CONTROLE DE FLUXO DE EQUIPAMENTOS DE MEDIÇÃO</t>
  </si>
  <si>
    <t>MAPA CONTROLE DE CALIBRAÇÃO DAS MÁQUINAS de SOLDA</t>
  </si>
  <si>
    <t>7.2.26</t>
  </si>
  <si>
    <t>MATRIZ DE APLICABILIDADE DE DOCUMENTOS</t>
  </si>
  <si>
    <t>7.2.27</t>
  </si>
  <si>
    <t>TERMO DE CIÊNCIA DOS DOCUMENTOS DO SGQ</t>
  </si>
  <si>
    <t>CONTROLE DE DISTRIBUIÇÃO DE DESENHOS  TÉCNICOS- PROJETOS</t>
  </si>
  <si>
    <t>8.3.1-2</t>
  </si>
  <si>
    <t>CONTROLE DE DISTRIBUIÇÃO DE DESENHOS  TÉCNICOS- PCP</t>
  </si>
  <si>
    <t>QUESTIONÁRIO DE AVALIAÇÃO INICIAL DE FORNECEDOR</t>
  </si>
  <si>
    <t>ACOMPANHAMENTO DE PEDIDO DE COMPRA</t>
  </si>
  <si>
    <t>RESUMO DE COLETA DE PREÇOS</t>
  </si>
  <si>
    <t>CONTROLE DE DESEMPENHO DOS SOLDADORES / RELATÓRIO CONTÍNUO DE QUALIFICAÇÃO DE SOLDADOR</t>
  </si>
  <si>
    <t>DATA BOOK PSC</t>
  </si>
  <si>
    <t>8.5-43</t>
  </si>
  <si>
    <t>CRONOGRAMA DE FABRICAÇÃO</t>
  </si>
  <si>
    <t>8.5-46</t>
  </si>
  <si>
    <t>ORDEM DE PROCESSO</t>
  </si>
  <si>
    <t>8.5.48</t>
  </si>
  <si>
    <t>8.5.49</t>
  </si>
  <si>
    <t>PLANEJAMENTO E CONTROLE DE PRODUÇÃO</t>
  </si>
  <si>
    <t>8.5-50</t>
  </si>
  <si>
    <t>ACOMPANHAMENTO DE USINAGEM</t>
  </si>
  <si>
    <t>8.5-51</t>
  </si>
  <si>
    <t>REQUISIÇÃO DE MATERIAIS PARA PLANEJAMENTO</t>
  </si>
  <si>
    <t>8.5-52</t>
  </si>
  <si>
    <t>CONTROLE DE EXPEDIÇÃO</t>
  </si>
  <si>
    <t>8.5-53</t>
  </si>
  <si>
    <t>CONTROLE DE FLUXO DO ALMOXARIFADO</t>
  </si>
  <si>
    <t>8.5-54</t>
  </si>
  <si>
    <t>CONTROLE DE MANUTENÇÃO DE EQUIPAMENTOS E FERRAMENTAS</t>
  </si>
  <si>
    <t>8.6.4</t>
  </si>
  <si>
    <t>ETIQUETA APROVADO</t>
  </si>
  <si>
    <t xml:space="preserve"> MAPEAMENTO DE SOLDA</t>
  </si>
  <si>
    <t>LISTA DE VERIFICAÇÃO PARA EMBARQUE DE EQUIPAMENTOS</t>
  </si>
  <si>
    <t>8.6.18</t>
  </si>
  <si>
    <t>RELATORIO DE CONTROLE DE CALIBRAÇÃO DE MÁQUINA DE SOLDA</t>
  </si>
  <si>
    <t xml:space="preserve"> COMPOSIÇÃO QUÍMICA DE MATERIAIS </t>
  </si>
  <si>
    <t>8.6.33</t>
  </si>
  <si>
    <t>RELATORIO DE ENSAIO DE DUREZA</t>
  </si>
  <si>
    <t>8.6.37</t>
  </si>
  <si>
    <t>MAPEAMENTO DE MANDRILAGEM</t>
  </si>
  <si>
    <t>8.6.38</t>
  </si>
  <si>
    <t>8.6.39</t>
  </si>
  <si>
    <t>8.6.40</t>
  </si>
  <si>
    <t>8.6.41</t>
  </si>
  <si>
    <t>8.6.42</t>
  </si>
  <si>
    <t>CONTROLE DE RELATÓRIOS DE NÃO CONFORMIDADES</t>
  </si>
  <si>
    <t>9.2-5</t>
  </si>
  <si>
    <t>PLANO DE AUDITORIA</t>
  </si>
  <si>
    <t>9.2-6</t>
  </si>
  <si>
    <t>ATA DE REUNIÃO DE AUDITORIA</t>
  </si>
  <si>
    <t>10.2.1</t>
  </si>
  <si>
    <t>PT- PERMISSÃO DE TRABALHO</t>
  </si>
  <si>
    <t>10.3</t>
  </si>
  <si>
    <t>FABRICAÇÃO DE TUBOS PARA FEIXE TUBULAR</t>
  </si>
  <si>
    <t>INSTRUÇÃO DE TRATAMENTO TÉRMICO</t>
  </si>
  <si>
    <t>COMPRESSORES</t>
  </si>
  <si>
    <t>8.5.7</t>
  </si>
  <si>
    <t>PLANEJAMENTO E CONTROLE DE ORDENS DE SERVIÇO</t>
  </si>
  <si>
    <t>PROCEDIMENTO DE END - ENSAIO POR LÍQUIDO PENETRANTE</t>
  </si>
  <si>
    <t>MANUAL DE CONTROLE DE QUALIDADE - ASME</t>
  </si>
  <si>
    <t xml:space="preserve"> PROCEDIMENTO FABRICAÇÃO DE VASOS DE PRESSÃO</t>
  </si>
  <si>
    <t>PROCEDIMENTO DE ENSAIO DE DUREZA EM SOLDAS</t>
  </si>
  <si>
    <t>QUALIFICAÇÃO E CERTIFICAÇÃO DO PESSOAL DE SOLDAGEM</t>
  </si>
  <si>
    <t>10.3.1</t>
  </si>
  <si>
    <t>LIMPEZA DE MATERIAIS E AMBIENTES</t>
  </si>
  <si>
    <t>10.3.2</t>
  </si>
  <si>
    <t>SEGREGAÇÃO DA ÁREA DE TRABALHO</t>
  </si>
  <si>
    <t>ADM/ GQ/ DIREÇÃO</t>
  </si>
  <si>
    <t>RH/ CQ</t>
  </si>
  <si>
    <t>ENG/SUP/CQ</t>
  </si>
  <si>
    <t>CORTE/ CQ</t>
  </si>
  <si>
    <t>ALMOXARIFADO</t>
  </si>
  <si>
    <t>PCP/PROD/CQ</t>
  </si>
  <si>
    <t>CQ/ENG</t>
  </si>
  <si>
    <t>CORTE/CQ</t>
  </si>
  <si>
    <t>ALMOXARIFADO/ PRODUÇÃO</t>
  </si>
  <si>
    <t>PROD/GQ/CQ</t>
  </si>
  <si>
    <t>7</t>
  </si>
  <si>
    <t>PSGQ 7.5</t>
  </si>
  <si>
    <t>FLUXOGRAMA DE FABRICAÇÃO DE FEIXE TUBULAR</t>
  </si>
  <si>
    <t>GQ/ CQ/ RH</t>
  </si>
  <si>
    <t>8.6.27</t>
  </si>
  <si>
    <t>PR-CQ-09/ PR-CQ-11</t>
  </si>
  <si>
    <t>3</t>
  </si>
  <si>
    <t>1</t>
  </si>
  <si>
    <t>10.4</t>
  </si>
  <si>
    <t>CONTROLE DE C.A</t>
  </si>
  <si>
    <t>ANÁLISE PRELIMINAR DE RISCO (APR)</t>
  </si>
  <si>
    <t>CONTROLE DE ANÁLISE PRELIMINAR DE RISCO (APR)</t>
  </si>
  <si>
    <t>10.1-2</t>
  </si>
  <si>
    <t>10.1-1</t>
  </si>
  <si>
    <t>FSGQ 7.5.1</t>
  </si>
  <si>
    <t xml:space="preserve">GQ/ CQ </t>
  </si>
  <si>
    <t>CALENDÁRIO DE AUDITORIAS</t>
  </si>
  <si>
    <t>2</t>
  </si>
  <si>
    <t xml:space="preserve"> LISTA DE VERIFICAÇÃO DE AUDITORIA  INTERNA</t>
  </si>
  <si>
    <t>ADM/ GQ/ RH</t>
  </si>
  <si>
    <t>CONTROLE DE CALIBRAÇÃO DE EQUIPAMENTOS</t>
  </si>
  <si>
    <t>4</t>
  </si>
  <si>
    <t>PROCEDIMENTO DE REPARO DE SOLDA</t>
  </si>
  <si>
    <t>CONTROLE DE ORIENTAÇÕES SMS</t>
  </si>
  <si>
    <t>RH/GQ/ CQ/ SMS</t>
  </si>
  <si>
    <t>SMS/ RH</t>
  </si>
  <si>
    <t>FICHA DE ENTREGA DE EPI</t>
  </si>
  <si>
    <t>PROTOCOLO DE ENTREGA DE TERMO DE COMPROMISSO</t>
  </si>
  <si>
    <t>APR - ANALISE PRELIMINAR DE RISCO</t>
  </si>
  <si>
    <t>EPI - EQUIPAMENTO DE PROTEÇÃO INDIVIDUAL</t>
  </si>
  <si>
    <t>CAPACITAÇÃO INTRODUTÓRIA</t>
  </si>
  <si>
    <t>MANUT</t>
  </si>
  <si>
    <t>GERENCIAMENTO DE RISCO E CONTIGÊNCIAS</t>
  </si>
  <si>
    <t>CARTILHA DE ORIENTAÇÃO AOS VISITANTES E AOS COLABORADORES (SEGURANÇA, SAÚDE E MEIO AMBIENTE)</t>
  </si>
  <si>
    <t>IDENTIFICAÇÃO DE ASPECTOS E IMPACTOS AMBIENTAIS, PERIGOS E RISCOS</t>
  </si>
  <si>
    <t>RELATÓRIO TÉCNICO DE SEGURANÇA DO TRABALHO</t>
  </si>
  <si>
    <t>ISSGQ 01</t>
  </si>
  <si>
    <t>ISSGQ 03</t>
  </si>
  <si>
    <t>ALMOX/SMS/RH</t>
  </si>
  <si>
    <t>MSGQ-1</t>
  </si>
  <si>
    <t>MSGQ-1/ PSGQ 7.5</t>
  </si>
  <si>
    <t>PQ-CQ-03/ MSGQ-1/ ISSGQ 01/ ISSGQ 02/ ISSGQ 03/ PSGQ 7.5</t>
  </si>
  <si>
    <t>TESTE HIDROSTÁTICO - ASME</t>
  </si>
  <si>
    <t>EXECUÇÃO DE INSPEÇÃO DE SOLDAGEM</t>
  </si>
  <si>
    <t xml:space="preserve">CONTROLE DE MANUTENÇÃO  </t>
  </si>
  <si>
    <t>MANUAL DO COLABORADOR</t>
  </si>
  <si>
    <t>CONTROLE DE CALIBRAÇÃO DE INSTRUMENTOS EQUIPAMENTOS DE MEDIÇÃO</t>
  </si>
  <si>
    <t xml:space="preserve">REGISTRO DE CONTROLE DO CONSELHO NACIONAL DE REPAROS/ALTERAÇÕES </t>
  </si>
  <si>
    <t>PLACA DE NOME DE REPARO OU ALTERAÇÃO</t>
  </si>
  <si>
    <t>CARTA DE APONTAMENTO</t>
  </si>
  <si>
    <t>REGISTRO DE QUALIFICAÇÃO DO PESSOAL DE PROJETO</t>
  </si>
  <si>
    <t>LOG DE NOVA CONSTRUÇÃO DO CONSELHO NACIONAL</t>
  </si>
  <si>
    <t>CONTROLE DE LIÇÕES APRENDIDAS</t>
  </si>
  <si>
    <t>PLANO DE TREINAMENTO</t>
  </si>
  <si>
    <t>ATESTADO DE QUALIFICAÇÃO DO COLABORADOR</t>
  </si>
  <si>
    <t xml:space="preserve">GQ/ CQ  </t>
  </si>
  <si>
    <t>COM/PROD/GQ/ CQ/ SUPRIM/ PCP/ ALMOX</t>
  </si>
  <si>
    <t>8.5.47</t>
  </si>
  <si>
    <t>FLUXOGRAMA DE MONTAGEM PARA FEIXES RETO - ESPELHO FLUTUANTE</t>
  </si>
  <si>
    <t>8.2.8</t>
  </si>
  <si>
    <t>ATA DA REUNIÃO PRÉ-INSPEÇÃO (PIM)</t>
  </si>
  <si>
    <t>MAPA DE PROCESSOS</t>
  </si>
  <si>
    <t>5.0.8.1</t>
  </si>
  <si>
    <t>INTER-RELAÇÃO ENTRE PROCESSOS DO SGQ</t>
  </si>
  <si>
    <t>7.5-2.1</t>
  </si>
  <si>
    <t>0</t>
  </si>
  <si>
    <t>LISTA DE CONTROLE DE PROCEDIMENTO DOS TERCEIRIZADOS</t>
  </si>
  <si>
    <t>OK</t>
  </si>
  <si>
    <t xml:space="preserve"> PROCEDIMENTO ENSAIO VISUAL DE SOLDA</t>
  </si>
  <si>
    <t>PRODUÇÃO E MANUTENÇÃO DE TUBOS MONTADOS EM AÇO CARBONO E AÇO INOXIDÁVEL</t>
  </si>
  <si>
    <t>NOTIFICAÇÃO DE INSPEÇÃO</t>
  </si>
  <si>
    <t>REGISTRO DE APONTAMENTO</t>
  </si>
  <si>
    <t>PCP/ PROD</t>
  </si>
  <si>
    <t>8.5.54</t>
  </si>
  <si>
    <t>8.6.20</t>
  </si>
  <si>
    <t>MAPEAMENTO DE JUNTAS RADIOGRAFADAS</t>
  </si>
  <si>
    <t>RELATÓRIO DE NÃO CONFORMIDADE</t>
  </si>
  <si>
    <t>TOTAL DE DOCUMENTOS</t>
  </si>
  <si>
    <t>10.5</t>
  </si>
  <si>
    <t>CHECK-LIST SEMANAL DE INSPEÇÃO DE FERRAMENTAS/ EQUIPAMENTOS</t>
  </si>
  <si>
    <t>CERTIFICADO DE CALIBRAÇÃO EXTERNA</t>
  </si>
  <si>
    <t>ENSAIO VISUAL DE SOLDA</t>
  </si>
  <si>
    <t>01</t>
  </si>
  <si>
    <t>PRODUÇÃO E MANUTENÇÃO DE EQUIPAMENTOS DE IÇAMENTO DE CARGA</t>
  </si>
  <si>
    <t>8.5-26</t>
  </si>
  <si>
    <t xml:space="preserve">RELATÓRIO DE LIÇOES APRENDIDADAS EM PRJETOS </t>
  </si>
  <si>
    <t xml:space="preserve">PROJETOS </t>
  </si>
  <si>
    <t>8.5.38</t>
  </si>
  <si>
    <t xml:space="preserve">RELAÇÃO DE PROGAMAÇÃO PARA PETRUS </t>
  </si>
  <si>
    <t>8.5.39</t>
  </si>
  <si>
    <t xml:space="preserve">PLACAS DE INDENTIFICAÇÃO </t>
  </si>
  <si>
    <t xml:space="preserve">PROGRAMAÇÃO DE USINAGEM </t>
  </si>
  <si>
    <t xml:space="preserve">RELATÓRIO DE TESTE DE PRESSÃO </t>
  </si>
  <si>
    <t>5</t>
  </si>
  <si>
    <t>8.2.10</t>
  </si>
  <si>
    <t>ANAÁLISE DOM PEDIDO E DA PROPOSTA</t>
  </si>
  <si>
    <t>8.5.33.1</t>
  </si>
  <si>
    <t xml:space="preserve">FORMULÁRIO PARA RETIRADA DOS EXPANDIDORES CONSIGNADOS </t>
  </si>
  <si>
    <t>PSGQ 8.2</t>
  </si>
  <si>
    <t>ESTÁ COMO OBSOLETO NAS PASTAS DO SGQ E REVISÃO 02 NO REGISTRO DO CQ</t>
  </si>
  <si>
    <t>VER COM GERALDO</t>
  </si>
  <si>
    <t>LISTA DE INSPEÇÃO DIMENSIONAL POR AMOSTRAGEM</t>
  </si>
  <si>
    <t>VER COM DEVALDO</t>
  </si>
  <si>
    <t>FSGQ 8.5-9 CRONOGRAMA CURVA S. PLANEJADO X REALIZADO</t>
  </si>
  <si>
    <t>PRODUÇÃO</t>
  </si>
  <si>
    <t>PROJETISTAS</t>
  </si>
  <si>
    <t>8.7.4</t>
  </si>
  <si>
    <t xml:space="preserve">CONTROLE DE CILINDROS E GÁS NÃO CONFORMES </t>
  </si>
  <si>
    <t xml:space="preserve">ALMOXARIFADO </t>
  </si>
  <si>
    <t>10.6</t>
  </si>
  <si>
    <t>CHECK-LIST MENSAL DO CAMINHÃO HULK</t>
  </si>
  <si>
    <t xml:space="preserve">SMS </t>
  </si>
  <si>
    <r>
      <rPr>
        <b/>
        <sz val="11"/>
        <color theme="1"/>
        <rFont val="Gomme Sans"/>
      </rPr>
      <t>DATA DE ATUALIZAÇÃO:</t>
    </r>
    <r>
      <rPr>
        <sz val="11"/>
        <color theme="4" tint="-0.249977111117893"/>
        <rFont val="Gomme Sans"/>
      </rPr>
      <t xml:space="preserve"> 30</t>
    </r>
    <r>
      <rPr>
        <sz val="11"/>
        <color rgb="FF0070C0"/>
        <rFont val="Gomme Sans"/>
      </rPr>
      <t>/07/2026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</si>
</sst>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8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Gomme Sans"/>
    </font>
    <font>
      <sz val="14"/>
      <color theme="0"/>
      <name val="Gomme Sans"/>
    </font>
    <font>
      <b/>
      <sz val="12"/>
      <color theme="1"/>
      <name val="Century Gothic"/>
      <family val="2"/>
    </font>
    <font>
      <sz val="14"/>
      <color theme="1"/>
      <name val="Gomme Sans"/>
    </font>
    <font>
      <b/>
      <sz val="11"/>
      <color theme="1"/>
      <name val="Gomme Sans"/>
    </font>
    <font>
      <sz val="11"/>
      <color theme="0"/>
      <name val="Gomme Sans"/>
    </font>
    <font>
      <sz val="10"/>
      <color theme="1"/>
      <name val="Gomme Sans"/>
    </font>
    <font>
      <b/>
      <sz val="11"/>
      <color theme="0"/>
      <name val="Gomme Sans"/>
    </font>
    <font>
      <sz val="10"/>
      <color indexed="2"/>
      <name val="Gomme Sans"/>
    </font>
    <font>
      <u/>
      <sz val="11"/>
      <color theme="1"/>
      <name val="Gomme Sans"/>
    </font>
    <font>
      <sz val="12"/>
      <color theme="1"/>
      <name val="Gomme Sans"/>
    </font>
    <font>
      <sz val="10"/>
      <color theme="0"/>
      <name val="Gomme Sans"/>
    </font>
    <font>
      <sz val="10"/>
      <name val="Gomme Sans"/>
    </font>
    <font>
      <sz val="11"/>
      <name val="Gomme Sans"/>
    </font>
    <font>
      <b/>
      <sz val="14"/>
      <color theme="1"/>
      <name val="Gomme Sans"/>
    </font>
    <font>
      <b/>
      <sz val="11"/>
      <color indexed="2"/>
      <name val="Gomme Sans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6"/>
      <color rgb="FF0070C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0"/>
      <color theme="7"/>
      <name val="Arial"/>
      <family val="2"/>
    </font>
    <font>
      <b/>
      <sz val="11"/>
      <color rgb="FF000000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color theme="2"/>
      <name val="Calibri Light"/>
      <family val="2"/>
      <scheme val="major"/>
    </font>
    <font>
      <b/>
      <sz val="28"/>
      <color theme="1"/>
      <name val="Gomme Sans"/>
    </font>
    <font>
      <b/>
      <sz val="12"/>
      <color theme="1"/>
      <name val="Gomme Sans"/>
    </font>
    <font>
      <sz val="18"/>
      <color theme="1"/>
      <name val="Gomme Sans"/>
    </font>
    <font>
      <sz val="11"/>
      <color rgb="FF0070C0"/>
      <name val="Gomme Sans"/>
    </font>
    <font>
      <b/>
      <sz val="11"/>
      <name val="Gomme Sans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indexed="81"/>
      <name val="Arial"/>
      <family val="2"/>
    </font>
    <font>
      <sz val="12"/>
      <color indexed="81"/>
      <name val="Arial"/>
      <family val="2"/>
    </font>
    <font>
      <sz val="11"/>
      <color theme="4" tint="-0.249977111117893"/>
      <name val="Gomme Sans"/>
    </font>
  </fonts>
  <fills count="40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ACB9CA"/>
        <bgColor rgb="FFACB9CA"/>
      </patternFill>
    </fill>
    <fill>
      <patternFill patternType="solid">
        <fgColor theme="0" tint="-0.14999847407452621"/>
        <bgColor rgb="FFACB9CA"/>
      </patternFill>
    </fill>
    <fill>
      <patternFill patternType="solid">
        <fgColor theme="1" tint="4.9989318521683403E-2"/>
        <bgColor theme="1" tint="4.9989318521683403E-2"/>
      </patternFill>
    </fill>
    <fill>
      <patternFill patternType="solid">
        <fgColor rgb="FFF2F2F2"/>
        <bgColor rgb="FFF2F2F2"/>
      </patternFill>
    </fill>
    <fill>
      <patternFill patternType="solid">
        <fgColor rgb="FFAEAAAA"/>
        <bgColor rgb="FFAEAAAA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rgb="FF1F4E79"/>
        <bgColor rgb="FF1F4E79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0" tint="-0.14999847407452621"/>
        <bgColor theme="4" tint="-0.499984740745262"/>
      </patternFill>
    </fill>
    <fill>
      <patternFill patternType="solid">
        <fgColor theme="0" tint="-0.14999847407452621"/>
        <bgColor rgb="FF1F4E79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0" tint="-0.14999847407452621"/>
        <bgColor theme="2" tint="-0.249977111117893"/>
      </patternFill>
    </fill>
    <fill>
      <patternFill patternType="solid">
        <fgColor theme="0" tint="-0.14999847407452621"/>
        <bgColor theme="0" tint="-0.499984740745262"/>
      </patternFill>
    </fill>
    <fill>
      <patternFill patternType="solid">
        <fgColor indexed="2"/>
        <bgColor indexed="2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rgb="FFBFBFB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medium">
        <color auto="1"/>
      </top>
      <bottom/>
      <diagonal/>
    </border>
    <border>
      <left/>
      <right style="thick">
        <color theme="0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</borders>
  <cellStyleXfs count="5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19" fillId="0" borderId="0"/>
    <xf numFmtId="0" fontId="1" fillId="0" borderId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top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top" wrapText="1"/>
    </xf>
    <xf numFmtId="0" fontId="7" fillId="2" borderId="4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6" borderId="1" xfId="0" quotePrefix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3" fillId="23" borderId="12" xfId="0" applyFont="1" applyFill="1" applyBorder="1" applyAlignment="1">
      <alignment horizontal="left" vertical="center" wrapText="1"/>
    </xf>
    <xf numFmtId="0" fontId="3" fillId="23" borderId="1" xfId="0" quotePrefix="1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24" borderId="1" xfId="0" quotePrefix="1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left" vertical="center" wrapText="1"/>
    </xf>
    <xf numFmtId="0" fontId="3" fillId="25" borderId="1" xfId="0" quotePrefix="1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2" fillId="25" borderId="1" xfId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3" fillId="26" borderId="1" xfId="0" quotePrefix="1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3" fillId="28" borderId="1" xfId="0" quotePrefix="1" applyFont="1" applyFill="1" applyBorder="1" applyAlignment="1">
      <alignment horizontal="left" vertical="center" wrapText="1"/>
    </xf>
    <xf numFmtId="0" fontId="16" fillId="23" borderId="1" xfId="0" applyFont="1" applyFill="1" applyBorder="1" applyAlignment="1">
      <alignment horizontal="left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3" fillId="25" borderId="1" xfId="0" quotePrefix="1" applyFont="1" applyFill="1" applyBorder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left" vertical="center" wrapText="1"/>
    </xf>
    <xf numFmtId="0" fontId="3" fillId="27" borderId="1" xfId="0" quotePrefix="1" applyFont="1" applyFill="1" applyBorder="1" applyAlignment="1">
      <alignment horizontal="center" vertical="center" wrapText="1"/>
    </xf>
    <xf numFmtId="0" fontId="3" fillId="27" borderId="1" xfId="0" quotePrefix="1" applyFont="1" applyFill="1" applyBorder="1" applyAlignment="1">
      <alignment horizontal="left" vertical="center" wrapText="1"/>
    </xf>
    <xf numFmtId="0" fontId="3" fillId="28" borderId="1" xfId="0" quotePrefix="1" applyFont="1" applyFill="1" applyBorder="1" applyAlignment="1">
      <alignment horizontal="center" vertical="center" wrapText="1"/>
    </xf>
    <xf numFmtId="0" fontId="3" fillId="26" borderId="1" xfId="0" quotePrefix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quotePrefix="1" applyFont="1" applyFill="1" applyBorder="1" applyAlignment="1">
      <alignment horizontal="left" vertical="center" wrapText="1"/>
    </xf>
    <xf numFmtId="0" fontId="16" fillId="3" borderId="1" xfId="0" quotePrefix="1" applyFont="1" applyFill="1" applyBorder="1" applyAlignment="1">
      <alignment horizontal="center" vertical="center" wrapText="1"/>
    </xf>
    <xf numFmtId="0" fontId="16" fillId="29" borderId="1" xfId="0" applyFont="1" applyFill="1" applyBorder="1" applyAlignment="1">
      <alignment horizontal="center" vertical="center" wrapText="1"/>
    </xf>
    <xf numFmtId="0" fontId="16" fillId="29" borderId="1" xfId="0" applyFont="1" applyFill="1" applyBorder="1" applyAlignment="1">
      <alignment horizontal="left" vertical="center" wrapText="1"/>
    </xf>
    <xf numFmtId="0" fontId="16" fillId="29" borderId="1" xfId="0" quotePrefix="1" applyFont="1" applyFill="1" applyBorder="1" applyAlignment="1">
      <alignment horizontal="left" vertical="center" wrapText="1"/>
    </xf>
    <xf numFmtId="0" fontId="16" fillId="29" borderId="1" xfId="0" quotePrefix="1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16" fillId="30" borderId="1" xfId="0" applyFont="1" applyFill="1" applyBorder="1" applyAlignment="1">
      <alignment horizontal="left" vertical="center" wrapText="1"/>
    </xf>
    <xf numFmtId="0" fontId="3" fillId="30" borderId="1" xfId="0" quotePrefix="1" applyFont="1" applyFill="1" applyBorder="1" applyAlignment="1">
      <alignment horizontal="left" vertical="center" wrapText="1"/>
    </xf>
    <xf numFmtId="0" fontId="3" fillId="30" borderId="1" xfId="0" quotePrefix="1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20" fillId="34" borderId="18" xfId="4" applyFont="1" applyFill="1" applyBorder="1" applyAlignment="1">
      <alignment horizontal="center" vertical="center"/>
    </xf>
    <xf numFmtId="0" fontId="20" fillId="34" borderId="21" xfId="4" applyFont="1" applyFill="1" applyBorder="1" applyAlignment="1">
      <alignment horizontal="center" vertical="center"/>
    </xf>
    <xf numFmtId="0" fontId="24" fillId="34" borderId="2" xfId="4" applyFont="1" applyFill="1" applyBorder="1" applyAlignment="1">
      <alignment horizontal="center"/>
    </xf>
    <xf numFmtId="0" fontId="25" fillId="34" borderId="2" xfId="4" applyFont="1" applyFill="1" applyBorder="1" applyAlignment="1">
      <alignment horizontal="center"/>
    </xf>
    <xf numFmtId="0" fontId="26" fillId="34" borderId="17" xfId="4" applyFont="1" applyFill="1" applyBorder="1" applyAlignment="1">
      <alignment horizontal="center"/>
    </xf>
    <xf numFmtId="0" fontId="20" fillId="34" borderId="19" xfId="4" applyFont="1" applyFill="1" applyBorder="1" applyAlignment="1">
      <alignment horizontal="center" vertical="center"/>
    </xf>
    <xf numFmtId="14" fontId="22" fillId="35" borderId="9" xfId="4" applyNumberFormat="1" applyFont="1" applyFill="1" applyBorder="1" applyAlignment="1">
      <alignment horizontal="center"/>
    </xf>
    <xf numFmtId="0" fontId="32" fillId="34" borderId="16" xfId="4" applyFont="1" applyFill="1" applyBorder="1" applyAlignment="1">
      <alignment horizontal="center"/>
    </xf>
    <xf numFmtId="14" fontId="22" fillId="35" borderId="18" xfId="4" applyNumberFormat="1" applyFont="1" applyFill="1" applyBorder="1" applyAlignment="1">
      <alignment horizontal="center"/>
    </xf>
    <xf numFmtId="0" fontId="31" fillId="0" borderId="25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35" fillId="0" borderId="4" xfId="0" applyFont="1" applyBorder="1" applyAlignment="1">
      <alignment vertical="center" wrapText="1"/>
    </xf>
    <xf numFmtId="0" fontId="37" fillId="36" borderId="0" xfId="3" applyFont="1" applyFill="1" applyAlignment="1">
      <alignment horizontal="center" vertical="center" wrapText="1"/>
    </xf>
    <xf numFmtId="0" fontId="37" fillId="36" borderId="23" xfId="3" applyFont="1" applyFill="1" applyBorder="1" applyAlignment="1">
      <alignment horizontal="center" vertical="center" wrapText="1"/>
    </xf>
    <xf numFmtId="0" fontId="23" fillId="34" borderId="0" xfId="0" applyFont="1" applyFill="1" applyAlignment="1">
      <alignment horizontal="center" vertical="center"/>
    </xf>
    <xf numFmtId="0" fontId="21" fillId="0" borderId="0" xfId="0" applyFont="1"/>
    <xf numFmtId="0" fontId="3" fillId="0" borderId="29" xfId="0" applyFont="1" applyBorder="1" applyAlignment="1">
      <alignment horizontal="center" vertical="center" wrapText="1"/>
    </xf>
    <xf numFmtId="14" fontId="8" fillId="0" borderId="29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49" fontId="16" fillId="0" borderId="15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 wrapText="1"/>
    </xf>
    <xf numFmtId="164" fontId="16" fillId="0" borderId="15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40" fillId="0" borderId="22" xfId="0" applyFont="1" applyBorder="1" applyAlignment="1">
      <alignment horizontal="center" vertical="center" wrapText="1"/>
    </xf>
    <xf numFmtId="0" fontId="28" fillId="37" borderId="28" xfId="0" applyFont="1" applyFill="1" applyBorder="1" applyAlignment="1">
      <alignment vertical="center"/>
    </xf>
    <xf numFmtId="164" fontId="3" fillId="34" borderId="15" xfId="0" applyNumberFormat="1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 wrapText="1"/>
    </xf>
    <xf numFmtId="49" fontId="16" fillId="0" borderId="1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 wrapText="1"/>
    </xf>
    <xf numFmtId="0" fontId="30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38" fillId="0" borderId="31" xfId="0" applyFont="1" applyBorder="1" applyAlignment="1">
      <alignment vertical="center" wrapText="1"/>
    </xf>
    <xf numFmtId="0" fontId="38" fillId="0" borderId="0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6" fillId="36" borderId="0" xfId="3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33" borderId="15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164" fontId="3" fillId="37" borderId="15" xfId="0" applyNumberFormat="1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16" fillId="38" borderId="15" xfId="0" applyFont="1" applyFill="1" applyBorder="1" applyAlignment="1">
      <alignment horizontal="center" vertical="center" wrapText="1"/>
    </xf>
    <xf numFmtId="0" fontId="16" fillId="38" borderId="15" xfId="0" applyFont="1" applyFill="1" applyBorder="1" applyAlignment="1">
      <alignment horizontal="left" vertical="center" wrapText="1"/>
    </xf>
    <xf numFmtId="0" fontId="3" fillId="38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164" fontId="3" fillId="0" borderId="15" xfId="0" applyNumberFormat="1" applyFont="1" applyFill="1" applyBorder="1" applyAlignment="1">
      <alignment horizontal="center" vertical="center" wrapText="1"/>
    </xf>
    <xf numFmtId="0" fontId="16" fillId="0" borderId="15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7" borderId="15" xfId="0" applyFont="1" applyFill="1" applyBorder="1" applyAlignment="1">
      <alignment horizontal="center" vertical="center" wrapText="1"/>
    </xf>
    <xf numFmtId="0" fontId="3" fillId="37" borderId="15" xfId="0" applyFont="1" applyFill="1" applyBorder="1" applyAlignment="1">
      <alignment horizontal="center" vertical="center"/>
    </xf>
    <xf numFmtId="0" fontId="3" fillId="39" borderId="15" xfId="0" applyFont="1" applyFill="1" applyBorder="1" applyAlignment="1">
      <alignment horizontal="center" vertical="center" wrapText="1"/>
    </xf>
    <xf numFmtId="0" fontId="3" fillId="39" borderId="15" xfId="0" applyFont="1" applyFill="1" applyBorder="1" applyAlignment="1">
      <alignment horizontal="center" vertical="center"/>
    </xf>
    <xf numFmtId="164" fontId="3" fillId="0" borderId="15" xfId="0" applyNumberFormat="1" applyFont="1" applyFill="1" applyBorder="1" applyAlignment="1">
      <alignment horizontal="center" vertical="center"/>
    </xf>
    <xf numFmtId="0" fontId="3" fillId="34" borderId="15" xfId="0" applyFont="1" applyFill="1" applyBorder="1" applyAlignment="1">
      <alignment horizontal="center" vertical="center" wrapText="1"/>
    </xf>
    <xf numFmtId="0" fontId="16" fillId="34" borderId="15" xfId="0" applyFont="1" applyFill="1" applyBorder="1" applyAlignment="1">
      <alignment horizontal="left" vertical="center" wrapText="1"/>
    </xf>
    <xf numFmtId="49" fontId="16" fillId="34" borderId="15" xfId="0" applyNumberFormat="1" applyFont="1" applyFill="1" applyBorder="1" applyAlignment="1">
      <alignment horizontal="center" vertical="center" wrapText="1"/>
    </xf>
    <xf numFmtId="0" fontId="7" fillId="34" borderId="15" xfId="0" applyFont="1" applyFill="1" applyBorder="1" applyAlignment="1">
      <alignment horizontal="center" vertical="center" wrapText="1"/>
    </xf>
    <xf numFmtId="0" fontId="3" fillId="34" borderId="15" xfId="0" applyFont="1" applyFill="1" applyBorder="1" applyAlignment="1">
      <alignment horizontal="center" vertical="center"/>
    </xf>
    <xf numFmtId="0" fontId="3" fillId="34" borderId="3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6" fillId="36" borderId="24" xfId="3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3" fillId="34" borderId="0" xfId="0" applyFont="1" applyFill="1" applyAlignment="1">
      <alignment horizontal="center" vertical="center"/>
    </xf>
    <xf numFmtId="0" fontId="27" fillId="33" borderId="16" xfId="4" applyFont="1" applyFill="1" applyBorder="1" applyAlignment="1">
      <alignment horizontal="center" vertical="center"/>
    </xf>
    <xf numFmtId="0" fontId="27" fillId="33" borderId="22" xfId="4" applyFont="1" applyFill="1" applyBorder="1" applyAlignment="1">
      <alignment horizontal="center" vertical="center"/>
    </xf>
    <xf numFmtId="0" fontId="27" fillId="33" borderId="17" xfId="4" applyFont="1" applyFill="1" applyBorder="1" applyAlignment="1">
      <alignment horizontal="center" vertical="center"/>
    </xf>
    <xf numFmtId="0" fontId="27" fillId="33" borderId="20" xfId="4" applyFont="1" applyFill="1" applyBorder="1" applyAlignment="1">
      <alignment horizontal="center" vertical="center"/>
    </xf>
    <xf numFmtId="14" fontId="22" fillId="35" borderId="9" xfId="4" applyNumberFormat="1" applyFont="1" applyFill="1" applyBorder="1" applyAlignment="1">
      <alignment horizontal="center" vertical="center"/>
    </xf>
    <xf numFmtId="14" fontId="22" fillId="35" borderId="11" xfId="4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5">
    <cellStyle name="Hiperlink" xfId="1" builtinId="8"/>
    <cellStyle name="Hyperlink" xfId="2" xr:uid="{00000000-0005-0000-0000-000001000000}"/>
    <cellStyle name="Normal" xfId="0" builtinId="0"/>
    <cellStyle name="Normal 2" xfId="4" xr:uid="{6847E07A-7697-4F60-BD03-592D58151BDB}"/>
    <cellStyle name="Normal 3" xfId="3" xr:uid="{00000000-0005-0000-0000-000031000000}"/>
  </cellStyles>
  <dxfs count="4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>
          <bgColor rgb="FFEFF6EA"/>
        </patternFill>
      </fill>
    </dxf>
    <dxf>
      <font>
        <color rgb="FF9C57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8B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9" tint="-0.499984740745262"/>
      </font>
      <fill>
        <patternFill patternType="solid">
          <bgColor theme="9" tint="0.79998168889431442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3737"/>
      </font>
      <fill>
        <patternFill patternType="solid">
          <fgColor rgb="FFFF3737"/>
          <bgColor rgb="FFFF373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920749"/>
    <xdr:pic>
      <xdr:nvPicPr>
        <xdr:cNvPr id="1941836417" name="Imagem 1941836416">
          <a:extLst>
            <a:ext uri="{FF2B5EF4-FFF2-40B4-BE49-F238E27FC236}">
              <a16:creationId xmlns:a16="http://schemas.microsoft.com/office/drawing/2014/main" id="{00000000-0008-0000-0000-00008112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000250" cy="9207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326573</xdr:colOff>
      <xdr:row>0</xdr:row>
      <xdr:rowOff>204108</xdr:rowOff>
    </xdr:from>
    <xdr:to>
      <xdr:col>2</xdr:col>
      <xdr:colOff>40823</xdr:colOff>
      <xdr:row>2</xdr:row>
      <xdr:rowOff>119961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EBA5DF-97B7-4D57-A7DC-06B393FC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3" y="204108"/>
          <a:ext cx="2680607" cy="705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0</xdr:row>
      <xdr:rowOff>68036</xdr:rowOff>
    </xdr:from>
    <xdr:to>
      <xdr:col>1</xdr:col>
      <xdr:colOff>510667</xdr:colOff>
      <xdr:row>0</xdr:row>
      <xdr:rowOff>819853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22464" y="68036"/>
          <a:ext cx="2061882" cy="751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0</xdr:row>
      <xdr:rowOff>68036</xdr:rowOff>
    </xdr:from>
    <xdr:to>
      <xdr:col>1</xdr:col>
      <xdr:colOff>514477</xdr:colOff>
      <xdr:row>0</xdr:row>
      <xdr:rowOff>816042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22464" y="68036"/>
          <a:ext cx="2061882" cy="7403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O181"/>
  <sheetViews>
    <sheetView showGridLines="0" zoomScale="85" workbookViewId="0">
      <pane xSplit="1" ySplit="2" topLeftCell="B3" activePane="bottomRight" state="frozen"/>
      <selection activeCell="C2" sqref="C2"/>
      <selection pane="topRight"/>
      <selection pane="bottomLeft"/>
      <selection pane="bottomRight" activeCell="B3" sqref="B3"/>
    </sheetView>
  </sheetViews>
  <sheetFormatPr defaultColWidth="10.875" defaultRowHeight="14.25"/>
  <cols>
    <col min="1" max="1" width="21.75" style="1" customWidth="1"/>
    <col min="2" max="2" width="19.25" style="1" customWidth="1"/>
    <col min="3" max="3" width="61.625" style="1" customWidth="1"/>
    <col min="4" max="6" width="16.5" style="1" customWidth="1"/>
    <col min="7" max="7" width="23.25" style="1" customWidth="1"/>
    <col min="8" max="8" width="61.875" style="1" customWidth="1"/>
    <col min="9" max="271" width="10.875" style="1" customWidth="1"/>
    <col min="272" max="16384" width="10.875" style="1"/>
  </cols>
  <sheetData>
    <row r="1" spans="1:275" ht="73.5" customHeight="1">
      <c r="A1" s="2" t="s">
        <v>0</v>
      </c>
      <c r="B1" s="3"/>
      <c r="D1" s="3" t="s">
        <v>1</v>
      </c>
      <c r="E1" s="3"/>
      <c r="F1" s="3"/>
      <c r="G1" s="3" t="s">
        <v>2</v>
      </c>
      <c r="H1" s="4" t="s">
        <v>3</v>
      </c>
      <c r="I1" s="5"/>
      <c r="J1" s="6"/>
    </row>
    <row r="2" spans="1:275" ht="51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N2" s="8">
        <f ca="1">TODAY()</f>
        <v>46233</v>
      </c>
    </row>
    <row r="3" spans="1:275" ht="35.25" customHeight="1">
      <c r="A3" s="9" t="s">
        <v>12</v>
      </c>
      <c r="B3" s="10">
        <v>3</v>
      </c>
      <c r="C3" s="10" t="s">
        <v>13</v>
      </c>
      <c r="D3" s="9" t="s">
        <v>14</v>
      </c>
      <c r="E3" s="10">
        <v>4</v>
      </c>
      <c r="F3" s="11" t="s">
        <v>15</v>
      </c>
      <c r="G3" s="10" t="s">
        <v>16</v>
      </c>
      <c r="H3" s="12"/>
    </row>
    <row r="4" spans="1:275" ht="35.25" customHeight="1">
      <c r="A4" s="13" t="s">
        <v>17</v>
      </c>
      <c r="B4" s="13" t="s">
        <v>18</v>
      </c>
      <c r="C4" s="13" t="s">
        <v>19</v>
      </c>
      <c r="D4" s="9" t="s">
        <v>20</v>
      </c>
      <c r="E4" s="13">
        <v>0</v>
      </c>
      <c r="F4" s="14" t="s">
        <v>21</v>
      </c>
      <c r="G4" s="13" t="s">
        <v>22</v>
      </c>
      <c r="H4" s="15"/>
      <c r="J4" s="182" t="s">
        <v>23</v>
      </c>
      <c r="K4" s="183"/>
    </row>
    <row r="5" spans="1:275" ht="35.25" customHeight="1">
      <c r="A5" s="13" t="s">
        <v>17</v>
      </c>
      <c r="B5" s="13" t="s">
        <v>24</v>
      </c>
      <c r="C5" s="13" t="s">
        <v>25</v>
      </c>
      <c r="D5" s="9" t="s">
        <v>20</v>
      </c>
      <c r="E5" s="13">
        <v>0</v>
      </c>
      <c r="F5" s="14" t="s">
        <v>21</v>
      </c>
      <c r="G5" s="13" t="s">
        <v>22</v>
      </c>
      <c r="H5" s="15"/>
      <c r="J5" s="16"/>
      <c r="K5" s="1" t="s">
        <v>26</v>
      </c>
    </row>
    <row r="6" spans="1:275" ht="35.25" customHeight="1">
      <c r="A6" s="17" t="s">
        <v>27</v>
      </c>
      <c r="B6" s="9" t="s">
        <v>28</v>
      </c>
      <c r="C6" s="9" t="s">
        <v>29</v>
      </c>
      <c r="D6" s="9" t="s">
        <v>14</v>
      </c>
      <c r="E6" s="9">
        <v>2</v>
      </c>
      <c r="F6" s="9" t="s">
        <v>30</v>
      </c>
      <c r="G6" s="9" t="s">
        <v>16</v>
      </c>
      <c r="H6" s="18"/>
      <c r="J6" s="19"/>
      <c r="K6" s="1" t="s">
        <v>27</v>
      </c>
    </row>
    <row r="7" spans="1:275" ht="35.25" customHeight="1">
      <c r="A7" s="17" t="s">
        <v>27</v>
      </c>
      <c r="B7" s="9" t="s">
        <v>31</v>
      </c>
      <c r="C7" s="9" t="s">
        <v>32</v>
      </c>
      <c r="D7" s="9" t="s">
        <v>20</v>
      </c>
      <c r="E7" s="9">
        <v>0</v>
      </c>
      <c r="F7" s="9" t="s">
        <v>21</v>
      </c>
      <c r="G7" s="9" t="s">
        <v>33</v>
      </c>
      <c r="H7" s="9"/>
      <c r="J7" s="20"/>
      <c r="K7" s="1" t="s">
        <v>34</v>
      </c>
      <c r="JM7" s="21"/>
      <c r="JO7" s="21"/>
    </row>
    <row r="8" spans="1:275" ht="35.25" customHeight="1">
      <c r="A8" s="17" t="s">
        <v>27</v>
      </c>
      <c r="B8" s="9" t="s">
        <v>35</v>
      </c>
      <c r="C8" s="9" t="s">
        <v>36</v>
      </c>
      <c r="D8" s="9" t="s">
        <v>20</v>
      </c>
      <c r="E8" s="9">
        <v>0</v>
      </c>
      <c r="F8" s="9" t="s">
        <v>21</v>
      </c>
      <c r="G8" s="9" t="s">
        <v>33</v>
      </c>
      <c r="H8" s="18"/>
      <c r="J8" s="22"/>
      <c r="K8" s="1" t="s">
        <v>37</v>
      </c>
    </row>
    <row r="9" spans="1:275" ht="35.25" customHeight="1">
      <c r="A9" s="17" t="s">
        <v>27</v>
      </c>
      <c r="B9" s="9" t="s">
        <v>38</v>
      </c>
      <c r="C9" s="9" t="s">
        <v>39</v>
      </c>
      <c r="D9" s="9" t="s">
        <v>20</v>
      </c>
      <c r="E9" s="9">
        <v>0</v>
      </c>
      <c r="F9" s="9" t="s">
        <v>21</v>
      </c>
      <c r="G9" s="9" t="s">
        <v>33</v>
      </c>
      <c r="H9" s="18"/>
      <c r="J9" s="23"/>
      <c r="K9" s="1" t="s">
        <v>17</v>
      </c>
    </row>
    <row r="10" spans="1:275" ht="35.25" customHeight="1">
      <c r="A10" s="17" t="s">
        <v>27</v>
      </c>
      <c r="B10" s="9" t="s">
        <v>40</v>
      </c>
      <c r="C10" s="9" t="s">
        <v>41</v>
      </c>
      <c r="D10" s="9" t="s">
        <v>20</v>
      </c>
      <c r="E10" s="9">
        <v>0</v>
      </c>
      <c r="F10" s="9" t="s">
        <v>42</v>
      </c>
      <c r="G10" s="9" t="s">
        <v>33</v>
      </c>
      <c r="H10" s="18"/>
      <c r="J10" s="24"/>
      <c r="K10" s="1" t="s">
        <v>43</v>
      </c>
    </row>
    <row r="11" spans="1:275" ht="35.25" customHeight="1">
      <c r="A11" s="17" t="s">
        <v>27</v>
      </c>
      <c r="B11" s="9" t="s">
        <v>44</v>
      </c>
      <c r="C11" s="9" t="s">
        <v>45</v>
      </c>
      <c r="D11" s="9" t="s">
        <v>20</v>
      </c>
      <c r="E11" s="9">
        <v>0</v>
      </c>
      <c r="F11" s="9" t="s">
        <v>21</v>
      </c>
      <c r="G11" s="9" t="s">
        <v>33</v>
      </c>
      <c r="H11" s="18"/>
      <c r="J11" s="25"/>
      <c r="K11" s="184"/>
      <c r="L11" s="185"/>
      <c r="M11" s="186"/>
    </row>
    <row r="12" spans="1:275" ht="35.25" customHeight="1">
      <c r="A12" s="17" t="s">
        <v>27</v>
      </c>
      <c r="B12" s="9" t="s">
        <v>46</v>
      </c>
      <c r="C12" s="9" t="s">
        <v>47</v>
      </c>
      <c r="D12" s="9" t="s">
        <v>20</v>
      </c>
      <c r="E12" s="9">
        <v>0</v>
      </c>
      <c r="F12" s="9" t="s">
        <v>48</v>
      </c>
      <c r="G12" s="9" t="s">
        <v>33</v>
      </c>
      <c r="H12" s="9"/>
      <c r="J12" s="25"/>
      <c r="K12" s="184"/>
      <c r="L12" s="185"/>
      <c r="M12" s="186"/>
    </row>
    <row r="13" spans="1:275" ht="35.25" customHeight="1">
      <c r="A13" s="17" t="s">
        <v>27</v>
      </c>
      <c r="B13" s="9" t="s">
        <v>49</v>
      </c>
      <c r="C13" s="9" t="s">
        <v>50</v>
      </c>
      <c r="D13" s="9" t="s">
        <v>20</v>
      </c>
      <c r="E13" s="9">
        <v>0</v>
      </c>
      <c r="F13" s="9" t="s">
        <v>21</v>
      </c>
      <c r="G13" s="9" t="s">
        <v>33</v>
      </c>
      <c r="H13" s="18"/>
      <c r="J13" s="25"/>
      <c r="K13" s="187"/>
      <c r="L13" s="188"/>
      <c r="M13" s="189"/>
    </row>
    <row r="14" spans="1:275" ht="35.25" customHeight="1">
      <c r="A14" s="17" t="s">
        <v>27</v>
      </c>
      <c r="B14" s="9" t="s">
        <v>51</v>
      </c>
      <c r="C14" s="9" t="s">
        <v>52</v>
      </c>
      <c r="D14" s="9" t="s">
        <v>20</v>
      </c>
      <c r="E14" s="9">
        <v>0</v>
      </c>
      <c r="F14" s="9" t="s">
        <v>53</v>
      </c>
      <c r="G14" s="9" t="s">
        <v>33</v>
      </c>
      <c r="H14" s="27"/>
    </row>
    <row r="15" spans="1:275" ht="35.25" customHeight="1">
      <c r="A15" s="17" t="s">
        <v>27</v>
      </c>
      <c r="B15" s="9" t="s">
        <v>54</v>
      </c>
      <c r="C15" s="9" t="s">
        <v>55</v>
      </c>
      <c r="D15" s="9" t="s">
        <v>20</v>
      </c>
      <c r="E15" s="9">
        <v>0</v>
      </c>
      <c r="F15" s="9" t="s">
        <v>21</v>
      </c>
      <c r="G15" s="9" t="s">
        <v>33</v>
      </c>
      <c r="H15" s="27"/>
    </row>
    <row r="16" spans="1:275" ht="35.25" customHeight="1">
      <c r="A16" s="17" t="s">
        <v>27</v>
      </c>
      <c r="B16" s="9" t="s">
        <v>56</v>
      </c>
      <c r="C16" s="9" t="s">
        <v>57</v>
      </c>
      <c r="D16" s="9" t="s">
        <v>20</v>
      </c>
      <c r="E16" s="9">
        <v>0</v>
      </c>
      <c r="F16" s="9" t="s">
        <v>48</v>
      </c>
      <c r="G16" s="9" t="s">
        <v>33</v>
      </c>
      <c r="H16" s="27"/>
    </row>
    <row r="17" spans="1:8" ht="35.25" customHeight="1">
      <c r="A17" s="17" t="s">
        <v>27</v>
      </c>
      <c r="B17" s="9" t="s">
        <v>58</v>
      </c>
      <c r="C17" s="9" t="s">
        <v>59</v>
      </c>
      <c r="D17" s="9" t="s">
        <v>20</v>
      </c>
      <c r="E17" s="9">
        <v>0</v>
      </c>
      <c r="F17" s="9" t="s">
        <v>21</v>
      </c>
      <c r="G17" s="9" t="s">
        <v>33</v>
      </c>
      <c r="H17" s="27"/>
    </row>
    <row r="18" spans="1:8" ht="35.25" customHeight="1">
      <c r="A18" s="13" t="s">
        <v>17</v>
      </c>
      <c r="B18" s="13" t="s">
        <v>60</v>
      </c>
      <c r="C18" s="13" t="s">
        <v>61</v>
      </c>
      <c r="D18" s="9" t="s">
        <v>14</v>
      </c>
      <c r="E18" s="14">
        <v>3</v>
      </c>
      <c r="F18" s="13" t="s">
        <v>62</v>
      </c>
      <c r="G18" s="13" t="s">
        <v>63</v>
      </c>
      <c r="H18" s="28"/>
    </row>
    <row r="19" spans="1:8" ht="35.25" customHeight="1">
      <c r="A19" s="17" t="s">
        <v>27</v>
      </c>
      <c r="B19" s="9" t="s">
        <v>64</v>
      </c>
      <c r="C19" s="9" t="s">
        <v>65</v>
      </c>
      <c r="D19" s="29" t="s">
        <v>20</v>
      </c>
      <c r="E19" s="9">
        <v>3</v>
      </c>
      <c r="F19" s="9" t="s">
        <v>66</v>
      </c>
      <c r="G19" s="9" t="s">
        <v>67</v>
      </c>
      <c r="H19" s="27"/>
    </row>
    <row r="20" spans="1:8" ht="35.25" customHeight="1">
      <c r="A20" s="17" t="s">
        <v>27</v>
      </c>
      <c r="B20" s="9" t="s">
        <v>68</v>
      </c>
      <c r="C20" s="9" t="s">
        <v>69</v>
      </c>
      <c r="D20" s="29" t="s">
        <v>20</v>
      </c>
      <c r="E20" s="9">
        <v>4</v>
      </c>
      <c r="F20" s="9" t="s">
        <v>70</v>
      </c>
      <c r="G20" s="9" t="s">
        <v>67</v>
      </c>
      <c r="H20" s="27"/>
    </row>
    <row r="21" spans="1:8" ht="35.25" customHeight="1">
      <c r="A21" s="17" t="s">
        <v>27</v>
      </c>
      <c r="B21" s="9" t="s">
        <v>71</v>
      </c>
      <c r="C21" s="10" t="s">
        <v>72</v>
      </c>
      <c r="D21" s="29" t="s">
        <v>20</v>
      </c>
      <c r="E21" s="9">
        <v>0</v>
      </c>
      <c r="F21" s="9" t="s">
        <v>73</v>
      </c>
      <c r="G21" s="9" t="s">
        <v>67</v>
      </c>
      <c r="H21" s="10"/>
    </row>
    <row r="22" spans="1:8" ht="35.25" customHeight="1">
      <c r="A22" s="17" t="s">
        <v>27</v>
      </c>
      <c r="B22" s="9" t="s">
        <v>74</v>
      </c>
      <c r="C22" s="9" t="s">
        <v>75</v>
      </c>
      <c r="D22" s="29" t="s">
        <v>20</v>
      </c>
      <c r="E22" s="9">
        <v>1</v>
      </c>
      <c r="F22" s="9" t="s">
        <v>76</v>
      </c>
      <c r="G22" s="9" t="s">
        <v>67</v>
      </c>
      <c r="H22" s="27"/>
    </row>
    <row r="23" spans="1:8" ht="35.25" customHeight="1">
      <c r="A23" s="17" t="s">
        <v>27</v>
      </c>
      <c r="B23" s="9" t="s">
        <v>60</v>
      </c>
      <c r="C23" s="9" t="s">
        <v>77</v>
      </c>
      <c r="D23" s="29" t="s">
        <v>20</v>
      </c>
      <c r="E23" s="9">
        <v>0</v>
      </c>
      <c r="F23" s="9" t="s">
        <v>76</v>
      </c>
      <c r="G23" s="9" t="s">
        <v>67</v>
      </c>
      <c r="H23" s="9"/>
    </row>
    <row r="24" spans="1:8" ht="35.25" customHeight="1">
      <c r="A24" s="17" t="s">
        <v>27</v>
      </c>
      <c r="B24" s="9" t="s">
        <v>78</v>
      </c>
      <c r="C24" s="9" t="s">
        <v>61</v>
      </c>
      <c r="D24" s="29" t="s">
        <v>20</v>
      </c>
      <c r="E24" s="9">
        <v>0</v>
      </c>
      <c r="F24" s="9" t="s">
        <v>76</v>
      </c>
      <c r="G24" s="9" t="s">
        <v>67</v>
      </c>
      <c r="H24" s="9"/>
    </row>
    <row r="25" spans="1:8" ht="35.25" customHeight="1">
      <c r="A25" s="17" t="s">
        <v>27</v>
      </c>
      <c r="B25" s="9" t="s">
        <v>79</v>
      </c>
      <c r="C25" s="9" t="s">
        <v>77</v>
      </c>
      <c r="D25" s="29" t="s">
        <v>20</v>
      </c>
      <c r="E25" s="9">
        <v>0</v>
      </c>
      <c r="F25" s="9" t="s">
        <v>80</v>
      </c>
      <c r="G25" s="9" t="s">
        <v>67</v>
      </c>
      <c r="H25" s="9"/>
    </row>
    <row r="26" spans="1:8" ht="35.25" customHeight="1">
      <c r="A26" s="13" t="s">
        <v>17</v>
      </c>
      <c r="B26" s="13" t="s">
        <v>81</v>
      </c>
      <c r="C26" s="13" t="s">
        <v>82</v>
      </c>
      <c r="D26" s="29" t="s">
        <v>14</v>
      </c>
      <c r="E26" s="14">
        <v>1</v>
      </c>
      <c r="F26" s="13" t="s">
        <v>83</v>
      </c>
      <c r="G26" s="13" t="s">
        <v>84</v>
      </c>
      <c r="H26" s="28"/>
    </row>
    <row r="27" spans="1:8" ht="35.25" customHeight="1">
      <c r="A27" s="17" t="s">
        <v>27</v>
      </c>
      <c r="B27" s="9" t="s">
        <v>85</v>
      </c>
      <c r="C27" s="9" t="s">
        <v>86</v>
      </c>
      <c r="D27" s="29" t="s">
        <v>20</v>
      </c>
      <c r="E27" s="9">
        <v>2</v>
      </c>
      <c r="F27" s="9" t="s">
        <v>87</v>
      </c>
      <c r="G27" s="9" t="s">
        <v>88</v>
      </c>
      <c r="H27" s="9"/>
    </row>
    <row r="28" spans="1:8" ht="35.25" customHeight="1">
      <c r="A28" s="17" t="s">
        <v>27</v>
      </c>
      <c r="B28" s="9" t="s">
        <v>89</v>
      </c>
      <c r="C28" s="9" t="s">
        <v>90</v>
      </c>
      <c r="D28" s="29" t="s">
        <v>20</v>
      </c>
      <c r="E28" s="9">
        <v>2</v>
      </c>
      <c r="F28" s="9" t="s">
        <v>91</v>
      </c>
      <c r="G28" s="9" t="s">
        <v>92</v>
      </c>
      <c r="H28" s="9"/>
    </row>
    <row r="29" spans="1:8" ht="35.25" customHeight="1">
      <c r="A29" s="17" t="s">
        <v>27</v>
      </c>
      <c r="B29" s="9" t="s">
        <v>93</v>
      </c>
      <c r="C29" s="9" t="s">
        <v>94</v>
      </c>
      <c r="D29" s="29" t="s">
        <v>14</v>
      </c>
      <c r="E29" s="9">
        <v>3</v>
      </c>
      <c r="F29" s="9" t="s">
        <v>95</v>
      </c>
      <c r="G29" s="9" t="s">
        <v>96</v>
      </c>
      <c r="H29" s="9" t="s">
        <v>97</v>
      </c>
    </row>
    <row r="30" spans="1:8" ht="35.25" customHeight="1">
      <c r="A30" s="17" t="s">
        <v>27</v>
      </c>
      <c r="B30" s="9" t="s">
        <v>98</v>
      </c>
      <c r="C30" s="9" t="s">
        <v>99</v>
      </c>
      <c r="D30" s="29" t="s">
        <v>20</v>
      </c>
      <c r="E30" s="9">
        <v>0</v>
      </c>
      <c r="F30" s="9" t="s">
        <v>87</v>
      </c>
      <c r="G30" s="9" t="s">
        <v>88</v>
      </c>
      <c r="H30" s="9"/>
    </row>
    <row r="31" spans="1:8" ht="35.25" customHeight="1">
      <c r="A31" s="17" t="s">
        <v>27</v>
      </c>
      <c r="B31" s="9" t="s">
        <v>100</v>
      </c>
      <c r="C31" s="9" t="s">
        <v>101</v>
      </c>
      <c r="D31" s="29" t="s">
        <v>20</v>
      </c>
      <c r="E31" s="9">
        <v>1</v>
      </c>
      <c r="F31" s="9" t="s">
        <v>102</v>
      </c>
      <c r="G31" s="9" t="s">
        <v>92</v>
      </c>
      <c r="H31" s="9"/>
    </row>
    <row r="32" spans="1:8" ht="35.25" customHeight="1">
      <c r="A32" s="17" t="s">
        <v>27</v>
      </c>
      <c r="B32" s="9" t="s">
        <v>103</v>
      </c>
      <c r="C32" s="9" t="s">
        <v>104</v>
      </c>
      <c r="D32" s="29" t="s">
        <v>20</v>
      </c>
      <c r="E32" s="9">
        <v>1</v>
      </c>
      <c r="F32" s="9" t="s">
        <v>102</v>
      </c>
      <c r="G32" s="9" t="s">
        <v>92</v>
      </c>
      <c r="H32" s="9"/>
    </row>
    <row r="33" spans="1:8" ht="35.25" customHeight="1">
      <c r="A33" s="17" t="s">
        <v>27</v>
      </c>
      <c r="B33" s="9" t="s">
        <v>105</v>
      </c>
      <c r="C33" s="9" t="s">
        <v>106</v>
      </c>
      <c r="D33" s="29" t="s">
        <v>20</v>
      </c>
      <c r="E33" s="9">
        <v>0</v>
      </c>
      <c r="F33" s="9" t="s">
        <v>107</v>
      </c>
      <c r="G33" s="9" t="s">
        <v>92</v>
      </c>
      <c r="H33" s="9"/>
    </row>
    <row r="34" spans="1:8" ht="35.25" customHeight="1">
      <c r="A34" s="17" t="s">
        <v>27</v>
      </c>
      <c r="B34" s="9" t="s">
        <v>108</v>
      </c>
      <c r="C34" s="9" t="s">
        <v>109</v>
      </c>
      <c r="D34" s="29" t="s">
        <v>20</v>
      </c>
      <c r="E34" s="9">
        <v>1</v>
      </c>
      <c r="F34" s="9" t="s">
        <v>110</v>
      </c>
      <c r="G34" s="9" t="s">
        <v>92</v>
      </c>
      <c r="H34" s="9"/>
    </row>
    <row r="35" spans="1:8" ht="35.25" customHeight="1">
      <c r="A35" s="17" t="s">
        <v>27</v>
      </c>
      <c r="B35" s="9" t="s">
        <v>111</v>
      </c>
      <c r="C35" s="9" t="s">
        <v>112</v>
      </c>
      <c r="D35" s="29" t="s">
        <v>20</v>
      </c>
      <c r="E35" s="9">
        <v>1</v>
      </c>
      <c r="F35" s="9" t="s">
        <v>113</v>
      </c>
      <c r="G35" s="9" t="s">
        <v>92</v>
      </c>
      <c r="H35" s="9"/>
    </row>
    <row r="36" spans="1:8" ht="35.25" customHeight="1">
      <c r="A36" s="17" t="s">
        <v>27</v>
      </c>
      <c r="B36" s="9" t="s">
        <v>114</v>
      </c>
      <c r="C36" s="9" t="s">
        <v>115</v>
      </c>
      <c r="D36" s="29" t="s">
        <v>20</v>
      </c>
      <c r="E36" s="9">
        <v>2</v>
      </c>
      <c r="F36" s="9" t="s">
        <v>116</v>
      </c>
      <c r="G36" s="9" t="s">
        <v>92</v>
      </c>
      <c r="H36" s="9"/>
    </row>
    <row r="37" spans="1:8" ht="35.25" customHeight="1">
      <c r="A37" s="17" t="s">
        <v>27</v>
      </c>
      <c r="B37" s="9" t="s">
        <v>117</v>
      </c>
      <c r="C37" s="9" t="s">
        <v>118</v>
      </c>
      <c r="D37" s="29" t="s">
        <v>20</v>
      </c>
      <c r="E37" s="9">
        <v>1</v>
      </c>
      <c r="F37" s="9" t="s">
        <v>119</v>
      </c>
      <c r="G37" s="9" t="s">
        <v>92</v>
      </c>
      <c r="H37" s="9"/>
    </row>
    <row r="38" spans="1:8" ht="35.25" customHeight="1">
      <c r="A38" s="17" t="s">
        <v>27</v>
      </c>
      <c r="B38" s="9" t="s">
        <v>120</v>
      </c>
      <c r="C38" s="9" t="s">
        <v>121</v>
      </c>
      <c r="D38" s="29" t="s">
        <v>20</v>
      </c>
      <c r="E38" s="9">
        <v>1</v>
      </c>
      <c r="F38" s="9" t="s">
        <v>122</v>
      </c>
      <c r="G38" s="9" t="s">
        <v>92</v>
      </c>
      <c r="H38" s="9"/>
    </row>
    <row r="39" spans="1:8" ht="35.25" customHeight="1">
      <c r="A39" s="17" t="s">
        <v>27</v>
      </c>
      <c r="B39" s="9" t="s">
        <v>123</v>
      </c>
      <c r="C39" s="9" t="s">
        <v>124</v>
      </c>
      <c r="D39" s="29" t="s">
        <v>20</v>
      </c>
      <c r="E39" s="9">
        <v>0</v>
      </c>
      <c r="F39" s="9" t="s">
        <v>125</v>
      </c>
      <c r="G39" s="9" t="s">
        <v>126</v>
      </c>
      <c r="H39" s="9"/>
    </row>
    <row r="40" spans="1:8" ht="35.25" customHeight="1">
      <c r="A40" s="17" t="s">
        <v>27</v>
      </c>
      <c r="B40" s="9" t="s">
        <v>127</v>
      </c>
      <c r="C40" s="9" t="s">
        <v>128</v>
      </c>
      <c r="D40" s="29" t="s">
        <v>20</v>
      </c>
      <c r="E40" s="9">
        <v>0</v>
      </c>
      <c r="F40" s="9" t="s">
        <v>125</v>
      </c>
      <c r="G40" s="9" t="s">
        <v>126</v>
      </c>
      <c r="H40" s="9"/>
    </row>
    <row r="41" spans="1:8" ht="35.25" customHeight="1">
      <c r="A41" s="17" t="s">
        <v>27</v>
      </c>
      <c r="B41" s="9" t="s">
        <v>129</v>
      </c>
      <c r="C41" s="9" t="s">
        <v>130</v>
      </c>
      <c r="D41" s="29" t="s">
        <v>20</v>
      </c>
      <c r="E41" s="9">
        <v>0</v>
      </c>
      <c r="F41" s="9" t="s">
        <v>125</v>
      </c>
      <c r="G41" s="9" t="s">
        <v>126</v>
      </c>
      <c r="H41" s="9"/>
    </row>
    <row r="42" spans="1:8" ht="35.25" customHeight="1">
      <c r="A42" s="17" t="s">
        <v>27</v>
      </c>
      <c r="B42" s="9" t="s">
        <v>131</v>
      </c>
      <c r="C42" s="17" t="s">
        <v>132</v>
      </c>
      <c r="D42" s="29" t="s">
        <v>20</v>
      </c>
      <c r="E42" s="9">
        <v>1</v>
      </c>
      <c r="F42" s="9" t="s">
        <v>133</v>
      </c>
      <c r="G42" s="9" t="s">
        <v>92</v>
      </c>
      <c r="H42" s="9"/>
    </row>
    <row r="43" spans="1:8" ht="35.25" customHeight="1">
      <c r="A43" s="17" t="s">
        <v>27</v>
      </c>
      <c r="B43" s="9" t="s">
        <v>134</v>
      </c>
      <c r="C43" s="9" t="s">
        <v>135</v>
      </c>
      <c r="D43" s="29" t="s">
        <v>20</v>
      </c>
      <c r="E43" s="9">
        <v>0</v>
      </c>
      <c r="F43" s="9" t="s">
        <v>136</v>
      </c>
      <c r="G43" s="9" t="s">
        <v>88</v>
      </c>
      <c r="H43" s="9"/>
    </row>
    <row r="44" spans="1:8" ht="35.25" customHeight="1">
      <c r="A44" s="30" t="s">
        <v>26</v>
      </c>
      <c r="B44" s="30" t="s">
        <v>85</v>
      </c>
      <c r="C44" s="30" t="s">
        <v>137</v>
      </c>
      <c r="D44" s="29" t="s">
        <v>20</v>
      </c>
      <c r="E44" s="31">
        <v>0</v>
      </c>
      <c r="F44" s="30" t="s">
        <v>87</v>
      </c>
      <c r="G44" s="30" t="s">
        <v>88</v>
      </c>
      <c r="H44" s="30"/>
    </row>
    <row r="45" spans="1:8" ht="35.25" customHeight="1">
      <c r="A45" s="30" t="s">
        <v>26</v>
      </c>
      <c r="B45" s="30" t="s">
        <v>93</v>
      </c>
      <c r="C45" s="30" t="s">
        <v>138</v>
      </c>
      <c r="D45" s="29" t="s">
        <v>20</v>
      </c>
      <c r="E45" s="31">
        <v>0</v>
      </c>
      <c r="F45" s="30" t="s">
        <v>139</v>
      </c>
      <c r="G45" s="30" t="s">
        <v>140</v>
      </c>
      <c r="H45" s="30"/>
    </row>
    <row r="46" spans="1:8" ht="35.25" customHeight="1">
      <c r="A46" s="13" t="s">
        <v>17</v>
      </c>
      <c r="B46" s="13" t="s">
        <v>141</v>
      </c>
      <c r="C46" s="13" t="s">
        <v>142</v>
      </c>
      <c r="D46" s="29" t="s">
        <v>14</v>
      </c>
      <c r="E46" s="14">
        <v>0</v>
      </c>
      <c r="F46" s="13" t="s">
        <v>21</v>
      </c>
      <c r="G46" s="13" t="s">
        <v>16</v>
      </c>
      <c r="H46" s="28"/>
    </row>
    <row r="47" spans="1:8" ht="35.25" customHeight="1">
      <c r="A47" s="17" t="s">
        <v>27</v>
      </c>
      <c r="B47" s="10" t="s">
        <v>143</v>
      </c>
      <c r="C47" s="9" t="s">
        <v>144</v>
      </c>
      <c r="D47" s="29" t="s">
        <v>14</v>
      </c>
      <c r="E47" s="9">
        <v>3</v>
      </c>
      <c r="F47" s="9" t="s">
        <v>145</v>
      </c>
      <c r="G47" s="9" t="s">
        <v>16</v>
      </c>
      <c r="H47" s="9"/>
    </row>
    <row r="48" spans="1:8" ht="35.25" customHeight="1">
      <c r="A48" s="17" t="s">
        <v>27</v>
      </c>
      <c r="B48" s="10" t="s">
        <v>146</v>
      </c>
      <c r="C48" s="9" t="s">
        <v>147</v>
      </c>
      <c r="D48" s="29" t="s">
        <v>14</v>
      </c>
      <c r="E48" s="9">
        <v>0</v>
      </c>
      <c r="F48" s="9" t="s">
        <v>21</v>
      </c>
      <c r="G48" s="9" t="s">
        <v>16</v>
      </c>
      <c r="H48" s="9"/>
    </row>
    <row r="49" spans="1:8" ht="35.25" customHeight="1">
      <c r="A49" s="17" t="s">
        <v>27</v>
      </c>
      <c r="B49" s="10" t="s">
        <v>148</v>
      </c>
      <c r="C49" s="9" t="s">
        <v>149</v>
      </c>
      <c r="D49" s="29" t="s">
        <v>14</v>
      </c>
      <c r="E49" s="9">
        <v>0</v>
      </c>
      <c r="F49" s="9" t="s">
        <v>21</v>
      </c>
      <c r="G49" s="9" t="s">
        <v>33</v>
      </c>
      <c r="H49" s="9"/>
    </row>
    <row r="50" spans="1:8" ht="35.25" customHeight="1">
      <c r="A50" s="17" t="s">
        <v>27</v>
      </c>
      <c r="B50" s="10" t="s">
        <v>150</v>
      </c>
      <c r="C50" s="9" t="s">
        <v>151</v>
      </c>
      <c r="D50" s="29" t="s">
        <v>14</v>
      </c>
      <c r="E50" s="9">
        <v>0</v>
      </c>
      <c r="F50" s="9" t="s">
        <v>21</v>
      </c>
      <c r="G50" s="9" t="s">
        <v>33</v>
      </c>
      <c r="H50" s="9"/>
    </row>
    <row r="51" spans="1:8" ht="35.25" customHeight="1">
      <c r="A51" s="13" t="s">
        <v>17</v>
      </c>
      <c r="B51" s="13" t="s">
        <v>152</v>
      </c>
      <c r="C51" s="13" t="s">
        <v>153</v>
      </c>
      <c r="D51" s="29" t="s">
        <v>14</v>
      </c>
      <c r="E51" s="14">
        <v>4</v>
      </c>
      <c r="F51" s="13" t="s">
        <v>154</v>
      </c>
      <c r="G51" s="13" t="s">
        <v>84</v>
      </c>
      <c r="H51" s="28"/>
    </row>
    <row r="52" spans="1:8" ht="35.25" customHeight="1">
      <c r="A52" s="17" t="s">
        <v>27</v>
      </c>
      <c r="B52" s="10" t="s">
        <v>155</v>
      </c>
      <c r="C52" s="9" t="s">
        <v>156</v>
      </c>
      <c r="D52" s="29" t="s">
        <v>14</v>
      </c>
      <c r="E52" s="9">
        <v>0</v>
      </c>
      <c r="F52" s="9" t="s">
        <v>21</v>
      </c>
      <c r="G52" s="9" t="s">
        <v>33</v>
      </c>
      <c r="H52" s="9"/>
    </row>
    <row r="53" spans="1:8" ht="35.25" customHeight="1">
      <c r="A53" s="17" t="s">
        <v>27</v>
      </c>
      <c r="B53" s="10" t="s">
        <v>157</v>
      </c>
      <c r="C53" s="9" t="s">
        <v>158</v>
      </c>
      <c r="D53" s="29" t="s">
        <v>14</v>
      </c>
      <c r="E53" s="9">
        <v>0</v>
      </c>
      <c r="F53" s="9" t="s">
        <v>21</v>
      </c>
      <c r="G53" s="9" t="s">
        <v>33</v>
      </c>
      <c r="H53" s="9"/>
    </row>
    <row r="54" spans="1:8" ht="35.25" customHeight="1">
      <c r="A54" s="17" t="s">
        <v>27</v>
      </c>
      <c r="B54" s="10" t="s">
        <v>159</v>
      </c>
      <c r="C54" s="9" t="s">
        <v>160</v>
      </c>
      <c r="D54" s="29" t="s">
        <v>14</v>
      </c>
      <c r="E54" s="9">
        <v>1</v>
      </c>
      <c r="F54" s="9" t="s">
        <v>161</v>
      </c>
      <c r="G54" s="9" t="s">
        <v>162</v>
      </c>
      <c r="H54" s="9"/>
    </row>
    <row r="55" spans="1:8" ht="35.25" customHeight="1">
      <c r="A55" s="17" t="s">
        <v>27</v>
      </c>
      <c r="B55" s="10" t="s">
        <v>163</v>
      </c>
      <c r="C55" s="9" t="s">
        <v>164</v>
      </c>
      <c r="D55" s="29" t="s">
        <v>14</v>
      </c>
      <c r="E55" s="9">
        <v>1</v>
      </c>
      <c r="F55" s="9" t="s">
        <v>161</v>
      </c>
      <c r="G55" s="9" t="s">
        <v>162</v>
      </c>
      <c r="H55" s="9"/>
    </row>
    <row r="56" spans="1:8" ht="35.25" customHeight="1">
      <c r="A56" s="17" t="s">
        <v>27</v>
      </c>
      <c r="B56" s="10" t="s">
        <v>165</v>
      </c>
      <c r="C56" s="9" t="s">
        <v>166</v>
      </c>
      <c r="D56" s="29" t="s">
        <v>14</v>
      </c>
      <c r="E56" s="9">
        <v>0</v>
      </c>
      <c r="F56" s="9" t="s">
        <v>21</v>
      </c>
      <c r="G56" s="9" t="s">
        <v>33</v>
      </c>
      <c r="H56" s="9"/>
    </row>
    <row r="57" spans="1:8" ht="35.25" customHeight="1">
      <c r="A57" s="17" t="s">
        <v>27</v>
      </c>
      <c r="B57" s="10" t="s">
        <v>167</v>
      </c>
      <c r="C57" s="9" t="s">
        <v>168</v>
      </c>
      <c r="D57" s="29" t="s">
        <v>14</v>
      </c>
      <c r="E57" s="9">
        <v>1</v>
      </c>
      <c r="F57" s="9" t="s">
        <v>161</v>
      </c>
      <c r="G57" s="9" t="s">
        <v>169</v>
      </c>
      <c r="H57" s="9"/>
    </row>
    <row r="58" spans="1:8" ht="35.25" customHeight="1">
      <c r="A58" s="17" t="s">
        <v>27</v>
      </c>
      <c r="B58" s="10" t="s">
        <v>170</v>
      </c>
      <c r="C58" s="9" t="s">
        <v>171</v>
      </c>
      <c r="D58" s="29" t="s">
        <v>14</v>
      </c>
      <c r="E58" s="9">
        <v>3</v>
      </c>
      <c r="F58" s="9" t="s">
        <v>172</v>
      </c>
      <c r="G58" s="9" t="s">
        <v>169</v>
      </c>
      <c r="H58" s="9"/>
    </row>
    <row r="59" spans="1:8" ht="35.25" customHeight="1">
      <c r="A59" s="13" t="s">
        <v>17</v>
      </c>
      <c r="B59" s="13" t="s">
        <v>173</v>
      </c>
      <c r="C59" s="13" t="s">
        <v>174</v>
      </c>
      <c r="D59" s="29" t="s">
        <v>20</v>
      </c>
      <c r="E59" s="14">
        <v>3</v>
      </c>
      <c r="F59" s="13" t="s">
        <v>175</v>
      </c>
      <c r="G59" s="13" t="s">
        <v>176</v>
      </c>
      <c r="H59" s="28"/>
    </row>
    <row r="60" spans="1:8" ht="35.25" customHeight="1">
      <c r="A60" s="30" t="s">
        <v>26</v>
      </c>
      <c r="B60" s="30" t="s">
        <v>177</v>
      </c>
      <c r="C60" s="30" t="s">
        <v>178</v>
      </c>
      <c r="D60" s="29" t="s">
        <v>20</v>
      </c>
      <c r="E60" s="31">
        <v>2</v>
      </c>
      <c r="F60" s="30" t="s">
        <v>179</v>
      </c>
      <c r="G60" s="30" t="s">
        <v>176</v>
      </c>
      <c r="H60" s="30"/>
    </row>
    <row r="61" spans="1:8" ht="35.25" customHeight="1">
      <c r="A61" s="17" t="s">
        <v>27</v>
      </c>
      <c r="B61" s="10" t="s">
        <v>177</v>
      </c>
      <c r="C61" s="9" t="s">
        <v>180</v>
      </c>
      <c r="D61" s="29" t="s">
        <v>20</v>
      </c>
      <c r="E61" s="9">
        <v>1</v>
      </c>
      <c r="F61" s="9" t="s">
        <v>181</v>
      </c>
      <c r="G61" s="9" t="s">
        <v>182</v>
      </c>
      <c r="H61" s="9"/>
    </row>
    <row r="62" spans="1:8" ht="35.25" customHeight="1">
      <c r="A62" s="13" t="s">
        <v>17</v>
      </c>
      <c r="B62" s="13" t="s">
        <v>183</v>
      </c>
      <c r="C62" s="13" t="s">
        <v>184</v>
      </c>
      <c r="D62" s="29" t="s">
        <v>20</v>
      </c>
      <c r="E62" s="14">
        <v>4</v>
      </c>
      <c r="F62" s="13" t="s">
        <v>185</v>
      </c>
      <c r="G62" s="13" t="s">
        <v>186</v>
      </c>
      <c r="H62" s="13"/>
    </row>
    <row r="63" spans="1:8" ht="35.25" customHeight="1">
      <c r="A63" s="17" t="s">
        <v>27</v>
      </c>
      <c r="B63" s="10" t="s">
        <v>187</v>
      </c>
      <c r="C63" s="9" t="s">
        <v>188</v>
      </c>
      <c r="D63" s="29" t="s">
        <v>14</v>
      </c>
      <c r="E63" s="9">
        <v>0</v>
      </c>
      <c r="F63" s="9" t="s">
        <v>87</v>
      </c>
      <c r="G63" s="9" t="s">
        <v>2</v>
      </c>
      <c r="H63" s="9"/>
    </row>
    <row r="64" spans="1:8" ht="35.25" customHeight="1">
      <c r="A64" s="17" t="s">
        <v>27</v>
      </c>
      <c r="B64" s="10" t="s">
        <v>189</v>
      </c>
      <c r="C64" s="9" t="s">
        <v>190</v>
      </c>
      <c r="D64" s="29" t="s">
        <v>14</v>
      </c>
      <c r="E64" s="9">
        <v>1</v>
      </c>
      <c r="F64" s="9" t="s">
        <v>191</v>
      </c>
      <c r="G64" s="9" t="s">
        <v>2</v>
      </c>
      <c r="H64" s="9"/>
    </row>
    <row r="65" spans="1:8" ht="35.25" customHeight="1">
      <c r="A65" s="17" t="s">
        <v>27</v>
      </c>
      <c r="B65" s="10" t="s">
        <v>192</v>
      </c>
      <c r="C65" s="9" t="s">
        <v>193</v>
      </c>
      <c r="D65" s="29" t="s">
        <v>20</v>
      </c>
      <c r="E65" s="9">
        <v>0</v>
      </c>
      <c r="F65" s="32" t="s">
        <v>194</v>
      </c>
      <c r="G65" s="9" t="s">
        <v>2</v>
      </c>
      <c r="H65" s="9"/>
    </row>
    <row r="66" spans="1:8" ht="35.25" customHeight="1">
      <c r="A66" s="17" t="s">
        <v>27</v>
      </c>
      <c r="B66" s="10" t="s">
        <v>195</v>
      </c>
      <c r="C66" s="9" t="s">
        <v>196</v>
      </c>
      <c r="D66" s="29" t="s">
        <v>14</v>
      </c>
      <c r="E66" s="9">
        <v>0</v>
      </c>
      <c r="F66" s="9" t="s">
        <v>87</v>
      </c>
      <c r="G66" s="9" t="s">
        <v>2</v>
      </c>
      <c r="H66" s="9"/>
    </row>
    <row r="67" spans="1:8" ht="35.25" customHeight="1">
      <c r="A67" s="17" t="s">
        <v>27</v>
      </c>
      <c r="B67" s="10" t="s">
        <v>197</v>
      </c>
      <c r="C67" s="9" t="s">
        <v>198</v>
      </c>
      <c r="D67" s="29" t="s">
        <v>14</v>
      </c>
      <c r="E67" s="9">
        <v>3</v>
      </c>
      <c r="F67" s="9" t="s">
        <v>199</v>
      </c>
      <c r="G67" s="9" t="s">
        <v>2</v>
      </c>
      <c r="H67" s="9"/>
    </row>
    <row r="68" spans="1:8" ht="35.25" customHeight="1">
      <c r="A68" s="17" t="s">
        <v>27</v>
      </c>
      <c r="B68" s="10" t="s">
        <v>200</v>
      </c>
      <c r="C68" s="9" t="s">
        <v>201</v>
      </c>
      <c r="D68" s="29" t="s">
        <v>14</v>
      </c>
      <c r="E68" s="9">
        <v>0</v>
      </c>
      <c r="F68" s="9" t="s">
        <v>87</v>
      </c>
      <c r="G68" s="9" t="s">
        <v>202</v>
      </c>
      <c r="H68" s="9" t="s">
        <v>203</v>
      </c>
    </row>
    <row r="69" spans="1:8" ht="35.25" customHeight="1">
      <c r="A69" s="17" t="s">
        <v>27</v>
      </c>
      <c r="B69" s="10" t="s">
        <v>204</v>
      </c>
      <c r="C69" s="9" t="s">
        <v>205</v>
      </c>
      <c r="D69" s="29" t="s">
        <v>14</v>
      </c>
      <c r="E69" s="9">
        <v>2</v>
      </c>
      <c r="F69" s="9" t="s">
        <v>206</v>
      </c>
      <c r="G69" s="9" t="s">
        <v>2</v>
      </c>
      <c r="H69" s="9" t="s">
        <v>207</v>
      </c>
    </row>
    <row r="70" spans="1:8" ht="35.25" customHeight="1">
      <c r="A70" s="17" t="s">
        <v>27</v>
      </c>
      <c r="B70" s="10" t="s">
        <v>208</v>
      </c>
      <c r="C70" s="9" t="s">
        <v>209</v>
      </c>
      <c r="D70" s="29" t="s">
        <v>14</v>
      </c>
      <c r="E70" s="9">
        <v>1</v>
      </c>
      <c r="F70" s="9" t="s">
        <v>210</v>
      </c>
      <c r="G70" s="9" t="s">
        <v>2</v>
      </c>
      <c r="H70" s="9"/>
    </row>
    <row r="71" spans="1:8" ht="35.25" customHeight="1">
      <c r="A71" s="13" t="s">
        <v>17</v>
      </c>
      <c r="B71" s="13" t="s">
        <v>211</v>
      </c>
      <c r="C71" s="13" t="s">
        <v>212</v>
      </c>
      <c r="D71" s="29" t="s">
        <v>20</v>
      </c>
      <c r="E71" s="14">
        <v>5</v>
      </c>
      <c r="F71" s="13" t="s">
        <v>213</v>
      </c>
      <c r="G71" s="13" t="s">
        <v>214</v>
      </c>
      <c r="H71" s="28"/>
    </row>
    <row r="72" spans="1:8" ht="35.25" customHeight="1">
      <c r="A72" s="17" t="s">
        <v>27</v>
      </c>
      <c r="B72" s="10" t="s">
        <v>215</v>
      </c>
      <c r="C72" s="9" t="s">
        <v>216</v>
      </c>
      <c r="D72" s="29" t="s">
        <v>20</v>
      </c>
      <c r="E72" s="9">
        <v>0</v>
      </c>
      <c r="F72" s="9" t="s">
        <v>217</v>
      </c>
      <c r="G72" s="9" t="s">
        <v>67</v>
      </c>
      <c r="H72" s="9"/>
    </row>
    <row r="73" spans="1:8" ht="35.25" customHeight="1">
      <c r="A73" s="17" t="s">
        <v>27</v>
      </c>
      <c r="B73" s="10" t="s">
        <v>218</v>
      </c>
      <c r="C73" s="9" t="s">
        <v>219</v>
      </c>
      <c r="D73" s="29" t="s">
        <v>20</v>
      </c>
      <c r="E73" s="9">
        <v>3</v>
      </c>
      <c r="F73" s="9" t="s">
        <v>220</v>
      </c>
      <c r="G73" s="9" t="s">
        <v>221</v>
      </c>
      <c r="H73" s="9"/>
    </row>
    <row r="74" spans="1:8" ht="35.25" customHeight="1">
      <c r="A74" s="17" t="s">
        <v>27</v>
      </c>
      <c r="B74" s="10" t="s">
        <v>222</v>
      </c>
      <c r="C74" s="9" t="s">
        <v>223</v>
      </c>
      <c r="D74" s="29" t="s">
        <v>20</v>
      </c>
      <c r="E74" s="9">
        <v>0</v>
      </c>
      <c r="F74" s="9" t="s">
        <v>21</v>
      </c>
      <c r="G74" s="9" t="s">
        <v>224</v>
      </c>
      <c r="H74" s="9"/>
    </row>
    <row r="75" spans="1:8" ht="35.25" customHeight="1">
      <c r="A75" s="17" t="s">
        <v>27</v>
      </c>
      <c r="B75" s="10" t="s">
        <v>225</v>
      </c>
      <c r="C75" s="9" t="s">
        <v>226</v>
      </c>
      <c r="D75" s="29" t="s">
        <v>20</v>
      </c>
      <c r="E75" s="9">
        <v>0</v>
      </c>
      <c r="F75" s="9" t="s">
        <v>217</v>
      </c>
      <c r="G75" s="9" t="s">
        <v>67</v>
      </c>
      <c r="H75" s="9"/>
    </row>
    <row r="76" spans="1:8" ht="35.25" customHeight="1">
      <c r="A76" s="17" t="s">
        <v>27</v>
      </c>
      <c r="B76" s="10" t="s">
        <v>227</v>
      </c>
      <c r="C76" s="9" t="s">
        <v>228</v>
      </c>
      <c r="D76" s="29" t="s">
        <v>20</v>
      </c>
      <c r="E76" s="9">
        <v>0</v>
      </c>
      <c r="F76" s="9" t="s">
        <v>21</v>
      </c>
      <c r="G76" s="9" t="s">
        <v>224</v>
      </c>
      <c r="H76" s="9"/>
    </row>
    <row r="77" spans="1:8" ht="35.25" customHeight="1">
      <c r="A77" s="17" t="s">
        <v>27</v>
      </c>
      <c r="B77" s="10" t="s">
        <v>229</v>
      </c>
      <c r="C77" s="9" t="s">
        <v>230</v>
      </c>
      <c r="D77" s="29" t="s">
        <v>20</v>
      </c>
      <c r="E77" s="9">
        <v>1</v>
      </c>
      <c r="F77" s="9" t="s">
        <v>231</v>
      </c>
      <c r="G77" s="9" t="s">
        <v>232</v>
      </c>
      <c r="H77" s="9"/>
    </row>
    <row r="78" spans="1:8" ht="35.25" customHeight="1">
      <c r="A78" s="17" t="s">
        <v>27</v>
      </c>
      <c r="B78" s="10" t="s">
        <v>233</v>
      </c>
      <c r="C78" s="9" t="s">
        <v>234</v>
      </c>
      <c r="D78" s="29" t="s">
        <v>20</v>
      </c>
      <c r="E78" s="9">
        <v>1</v>
      </c>
      <c r="F78" s="9" t="s">
        <v>235</v>
      </c>
      <c r="G78" s="9" t="s">
        <v>236</v>
      </c>
      <c r="H78" s="9"/>
    </row>
    <row r="79" spans="1:8" ht="35.25" customHeight="1">
      <c r="A79" s="17" t="s">
        <v>27</v>
      </c>
      <c r="B79" s="10" t="s">
        <v>237</v>
      </c>
      <c r="C79" s="9" t="s">
        <v>238</v>
      </c>
      <c r="D79" s="29" t="s">
        <v>20</v>
      </c>
      <c r="E79" s="9">
        <v>2</v>
      </c>
      <c r="F79" s="9" t="s">
        <v>239</v>
      </c>
      <c r="G79" s="9" t="s">
        <v>236</v>
      </c>
      <c r="H79" s="9"/>
    </row>
    <row r="80" spans="1:8" ht="35.25" customHeight="1">
      <c r="A80" s="17" t="s">
        <v>27</v>
      </c>
      <c r="B80" s="10" t="s">
        <v>240</v>
      </c>
      <c r="C80" s="9" t="s">
        <v>241</v>
      </c>
      <c r="D80" s="29" t="s">
        <v>20</v>
      </c>
      <c r="E80" s="9">
        <v>0</v>
      </c>
      <c r="F80" s="9" t="s">
        <v>242</v>
      </c>
      <c r="G80" s="9" t="s">
        <v>67</v>
      </c>
      <c r="H80" s="9"/>
    </row>
    <row r="81" spans="1:8" ht="35.25" customHeight="1">
      <c r="A81" s="17" t="s">
        <v>27</v>
      </c>
      <c r="B81" s="10" t="s">
        <v>243</v>
      </c>
      <c r="C81" s="9" t="s">
        <v>244</v>
      </c>
      <c r="D81" s="29" t="s">
        <v>20</v>
      </c>
      <c r="E81" s="9">
        <v>0</v>
      </c>
      <c r="F81" s="9" t="s">
        <v>245</v>
      </c>
      <c r="G81" s="9" t="s">
        <v>67</v>
      </c>
      <c r="H81" s="9"/>
    </row>
    <row r="82" spans="1:8" ht="35.25" customHeight="1">
      <c r="A82" s="17" t="s">
        <v>27</v>
      </c>
      <c r="B82" s="10" t="s">
        <v>246</v>
      </c>
      <c r="C82" s="9" t="s">
        <v>247</v>
      </c>
      <c r="D82" s="29" t="s">
        <v>20</v>
      </c>
      <c r="E82" s="9">
        <v>4</v>
      </c>
      <c r="F82" s="9" t="s">
        <v>248</v>
      </c>
      <c r="G82" s="9" t="s">
        <v>67</v>
      </c>
      <c r="H82" s="9"/>
    </row>
    <row r="83" spans="1:8" ht="35.25" customHeight="1">
      <c r="A83" s="17" t="s">
        <v>27</v>
      </c>
      <c r="B83" s="10" t="s">
        <v>249</v>
      </c>
      <c r="C83" s="9" t="s">
        <v>250</v>
      </c>
      <c r="D83" s="29" t="s">
        <v>20</v>
      </c>
      <c r="E83" s="9">
        <v>1</v>
      </c>
      <c r="F83" s="9" t="s">
        <v>210</v>
      </c>
      <c r="G83" s="9" t="s">
        <v>67</v>
      </c>
      <c r="H83" s="9"/>
    </row>
    <row r="84" spans="1:8" ht="35.25" customHeight="1">
      <c r="A84" s="17" t="s">
        <v>27</v>
      </c>
      <c r="B84" s="10" t="s">
        <v>251</v>
      </c>
      <c r="C84" s="9" t="s">
        <v>252</v>
      </c>
      <c r="D84" s="29" t="s">
        <v>20</v>
      </c>
      <c r="E84" s="9">
        <v>1</v>
      </c>
      <c r="F84" s="9" t="s">
        <v>253</v>
      </c>
      <c r="G84" s="9" t="s">
        <v>67</v>
      </c>
      <c r="H84" s="9"/>
    </row>
    <row r="85" spans="1:8" ht="35.25" customHeight="1">
      <c r="A85" s="17" t="s">
        <v>27</v>
      </c>
      <c r="B85" s="10" t="s">
        <v>254</v>
      </c>
      <c r="C85" s="9" t="s">
        <v>255</v>
      </c>
      <c r="D85" s="29" t="s">
        <v>20</v>
      </c>
      <c r="E85" s="9">
        <v>2</v>
      </c>
      <c r="F85" s="9" t="s">
        <v>256</v>
      </c>
      <c r="G85" s="9" t="s">
        <v>67</v>
      </c>
      <c r="H85" s="9"/>
    </row>
    <row r="86" spans="1:8" ht="35.25" customHeight="1">
      <c r="A86" s="17" t="s">
        <v>27</v>
      </c>
      <c r="B86" s="10" t="s">
        <v>257</v>
      </c>
      <c r="C86" s="9" t="s">
        <v>258</v>
      </c>
      <c r="D86" s="29" t="s">
        <v>20</v>
      </c>
      <c r="E86" s="9">
        <v>1</v>
      </c>
      <c r="F86" s="9" t="s">
        <v>259</v>
      </c>
      <c r="G86" s="9" t="s">
        <v>67</v>
      </c>
      <c r="H86" s="9"/>
    </row>
    <row r="87" spans="1:8" ht="35.25" customHeight="1">
      <c r="A87" s="17" t="s">
        <v>27</v>
      </c>
      <c r="B87" s="10" t="s">
        <v>260</v>
      </c>
      <c r="C87" s="9" t="s">
        <v>261</v>
      </c>
      <c r="D87" s="29" t="s">
        <v>20</v>
      </c>
      <c r="E87" s="9">
        <v>0</v>
      </c>
      <c r="F87" s="9" t="s">
        <v>262</v>
      </c>
      <c r="G87" s="9" t="s">
        <v>224</v>
      </c>
      <c r="H87" s="9"/>
    </row>
    <row r="88" spans="1:8" ht="35.25" customHeight="1">
      <c r="A88" s="17" t="s">
        <v>27</v>
      </c>
      <c r="B88" s="10" t="s">
        <v>263</v>
      </c>
      <c r="C88" s="9" t="s">
        <v>264</v>
      </c>
      <c r="D88" s="29" t="s">
        <v>20</v>
      </c>
      <c r="E88" s="9">
        <v>1</v>
      </c>
      <c r="F88" s="9" t="s">
        <v>265</v>
      </c>
      <c r="G88" s="9" t="s">
        <v>236</v>
      </c>
      <c r="H88" s="9"/>
    </row>
    <row r="89" spans="1:8" ht="35.25" customHeight="1">
      <c r="A89" s="17" t="s">
        <v>27</v>
      </c>
      <c r="B89" s="10" t="s">
        <v>266</v>
      </c>
      <c r="C89" s="9" t="s">
        <v>267</v>
      </c>
      <c r="D89" s="29" t="s">
        <v>20</v>
      </c>
      <c r="E89" s="9">
        <v>1</v>
      </c>
      <c r="F89" s="9" t="s">
        <v>268</v>
      </c>
      <c r="G89" s="9" t="s">
        <v>236</v>
      </c>
      <c r="H89" s="9"/>
    </row>
    <row r="90" spans="1:8" ht="35.25" customHeight="1">
      <c r="A90" s="17" t="s">
        <v>27</v>
      </c>
      <c r="B90" s="10" t="s">
        <v>269</v>
      </c>
      <c r="C90" s="9" t="s">
        <v>270</v>
      </c>
      <c r="D90" s="29" t="s">
        <v>20</v>
      </c>
      <c r="E90" s="9">
        <v>0</v>
      </c>
      <c r="F90" s="9" t="s">
        <v>271</v>
      </c>
      <c r="G90" s="9" t="s">
        <v>272</v>
      </c>
      <c r="H90" s="9"/>
    </row>
    <row r="91" spans="1:8" ht="35.25" customHeight="1">
      <c r="A91" s="17" t="s">
        <v>27</v>
      </c>
      <c r="B91" s="10" t="s">
        <v>273</v>
      </c>
      <c r="C91" s="9" t="s">
        <v>274</v>
      </c>
      <c r="D91" s="29" t="s">
        <v>20</v>
      </c>
      <c r="E91" s="9">
        <v>0</v>
      </c>
      <c r="F91" s="9" t="s">
        <v>275</v>
      </c>
      <c r="G91" s="9" t="s">
        <v>236</v>
      </c>
      <c r="H91" s="9"/>
    </row>
    <row r="92" spans="1:8" ht="35.25" customHeight="1">
      <c r="A92" s="17" t="s">
        <v>27</v>
      </c>
      <c r="B92" s="10" t="s">
        <v>276</v>
      </c>
      <c r="C92" s="9" t="s">
        <v>277</v>
      </c>
      <c r="D92" s="29" t="s">
        <v>20</v>
      </c>
      <c r="E92" s="9">
        <v>0</v>
      </c>
      <c r="F92" s="9" t="s">
        <v>42</v>
      </c>
      <c r="G92" s="9" t="s">
        <v>232</v>
      </c>
      <c r="H92" s="9"/>
    </row>
    <row r="93" spans="1:8" ht="35.25" customHeight="1">
      <c r="A93" s="17" t="s">
        <v>27</v>
      </c>
      <c r="B93" s="10" t="s">
        <v>278</v>
      </c>
      <c r="C93" s="9" t="s">
        <v>279</v>
      </c>
      <c r="D93" s="29" t="s">
        <v>20</v>
      </c>
      <c r="E93" s="9">
        <v>0</v>
      </c>
      <c r="F93" s="9" t="s">
        <v>280</v>
      </c>
      <c r="G93" s="9" t="s">
        <v>232</v>
      </c>
      <c r="H93" s="9"/>
    </row>
    <row r="94" spans="1:8" ht="35.25" customHeight="1">
      <c r="A94" s="17" t="s">
        <v>27</v>
      </c>
      <c r="B94" s="10" t="s">
        <v>281</v>
      </c>
      <c r="C94" s="9" t="s">
        <v>282</v>
      </c>
      <c r="D94" s="29" t="s">
        <v>20</v>
      </c>
      <c r="E94" s="9">
        <v>0</v>
      </c>
      <c r="F94" s="9" t="s">
        <v>283</v>
      </c>
      <c r="G94" s="9" t="s">
        <v>232</v>
      </c>
      <c r="H94" s="9"/>
    </row>
    <row r="95" spans="1:8" ht="35.25" customHeight="1">
      <c r="A95" s="17" t="s">
        <v>27</v>
      </c>
      <c r="B95" s="10" t="s">
        <v>284</v>
      </c>
      <c r="C95" s="9" t="s">
        <v>285</v>
      </c>
      <c r="D95" s="29" t="s">
        <v>20</v>
      </c>
      <c r="E95" s="9">
        <v>0</v>
      </c>
      <c r="F95" s="9" t="s">
        <v>283</v>
      </c>
      <c r="G95" s="9" t="s">
        <v>232</v>
      </c>
      <c r="H95" s="9"/>
    </row>
    <row r="96" spans="1:8" ht="35.25" customHeight="1">
      <c r="A96" s="17" t="s">
        <v>27</v>
      </c>
      <c r="B96" s="10" t="s">
        <v>286</v>
      </c>
      <c r="C96" s="9" t="s">
        <v>287</v>
      </c>
      <c r="D96" s="29" t="s">
        <v>20</v>
      </c>
      <c r="E96" s="9">
        <v>0</v>
      </c>
      <c r="F96" s="9" t="s">
        <v>288</v>
      </c>
      <c r="G96" s="9" t="s">
        <v>289</v>
      </c>
      <c r="H96" s="9"/>
    </row>
    <row r="97" spans="1:8" ht="35.25" customHeight="1">
      <c r="A97" s="17" t="s">
        <v>27</v>
      </c>
      <c r="B97" s="10" t="s">
        <v>290</v>
      </c>
      <c r="C97" s="9" t="s">
        <v>291</v>
      </c>
      <c r="D97" s="29" t="s">
        <v>20</v>
      </c>
      <c r="E97" s="9">
        <v>0</v>
      </c>
      <c r="F97" s="9" t="s">
        <v>292</v>
      </c>
      <c r="G97" s="9" t="s">
        <v>293</v>
      </c>
      <c r="H97" s="9"/>
    </row>
    <row r="98" spans="1:8" ht="35.25" customHeight="1">
      <c r="A98" s="17" t="s">
        <v>27</v>
      </c>
      <c r="B98" s="10" t="s">
        <v>294</v>
      </c>
      <c r="C98" s="9" t="s">
        <v>295</v>
      </c>
      <c r="D98" s="29" t="s">
        <v>20</v>
      </c>
      <c r="E98" s="9">
        <v>0</v>
      </c>
      <c r="F98" s="9" t="s">
        <v>288</v>
      </c>
      <c r="G98" s="9" t="s">
        <v>232</v>
      </c>
      <c r="H98" s="9"/>
    </row>
    <row r="99" spans="1:8" ht="35.25" customHeight="1">
      <c r="A99" s="17" t="s">
        <v>27</v>
      </c>
      <c r="B99" s="10" t="s">
        <v>296</v>
      </c>
      <c r="C99" s="9" t="s">
        <v>297</v>
      </c>
      <c r="D99" s="29" t="s">
        <v>20</v>
      </c>
      <c r="E99" s="9">
        <v>0</v>
      </c>
      <c r="F99" s="9" t="s">
        <v>288</v>
      </c>
      <c r="G99" s="9" t="s">
        <v>232</v>
      </c>
      <c r="H99" s="9"/>
    </row>
    <row r="100" spans="1:8" ht="35.25" customHeight="1">
      <c r="A100" s="17" t="s">
        <v>27</v>
      </c>
      <c r="B100" s="10" t="s">
        <v>298</v>
      </c>
      <c r="C100" s="9" t="s">
        <v>299</v>
      </c>
      <c r="D100" s="29" t="s">
        <v>20</v>
      </c>
      <c r="E100" s="9">
        <v>0</v>
      </c>
      <c r="F100" s="9" t="s">
        <v>288</v>
      </c>
      <c r="G100" s="9" t="s">
        <v>232</v>
      </c>
      <c r="H100" s="9"/>
    </row>
    <row r="101" spans="1:8" ht="35.25" customHeight="1">
      <c r="A101" s="17" t="s">
        <v>27</v>
      </c>
      <c r="B101" s="10" t="s">
        <v>300</v>
      </c>
      <c r="C101" s="9" t="s">
        <v>301</v>
      </c>
      <c r="D101" s="29" t="s">
        <v>20</v>
      </c>
      <c r="E101" s="9">
        <v>0</v>
      </c>
      <c r="F101" s="9" t="s">
        <v>288</v>
      </c>
      <c r="G101" s="9" t="s">
        <v>232</v>
      </c>
      <c r="H101" s="9"/>
    </row>
    <row r="102" spans="1:8" ht="35.25" customHeight="1">
      <c r="A102" s="17" t="s">
        <v>27</v>
      </c>
      <c r="B102" s="10" t="s">
        <v>302</v>
      </c>
      <c r="C102" s="9" t="s">
        <v>303</v>
      </c>
      <c r="D102" s="29" t="s">
        <v>20</v>
      </c>
      <c r="E102" s="9">
        <v>0</v>
      </c>
      <c r="F102" s="9" t="s">
        <v>288</v>
      </c>
      <c r="G102" s="9" t="s">
        <v>232</v>
      </c>
      <c r="H102" s="9"/>
    </row>
    <row r="103" spans="1:8" ht="35.25" customHeight="1">
      <c r="A103" s="17" t="s">
        <v>27</v>
      </c>
      <c r="B103" s="10" t="s">
        <v>304</v>
      </c>
      <c r="C103" s="9" t="s">
        <v>305</v>
      </c>
      <c r="D103" s="29" t="s">
        <v>20</v>
      </c>
      <c r="E103" s="9">
        <v>0</v>
      </c>
      <c r="F103" s="9" t="s">
        <v>288</v>
      </c>
      <c r="G103" s="9" t="s">
        <v>232</v>
      </c>
      <c r="H103" s="9"/>
    </row>
    <row r="104" spans="1:8" ht="35.25" customHeight="1">
      <c r="A104" s="17" t="s">
        <v>27</v>
      </c>
      <c r="B104" s="10" t="s">
        <v>306</v>
      </c>
      <c r="C104" s="9" t="s">
        <v>307</v>
      </c>
      <c r="D104" s="29" t="s">
        <v>20</v>
      </c>
      <c r="E104" s="9">
        <v>0</v>
      </c>
      <c r="F104" s="9" t="s">
        <v>288</v>
      </c>
      <c r="G104" s="9" t="s">
        <v>232</v>
      </c>
      <c r="H104" s="9"/>
    </row>
    <row r="105" spans="1:8" ht="35.25" customHeight="1">
      <c r="A105" s="17" t="s">
        <v>27</v>
      </c>
      <c r="B105" s="10" t="s">
        <v>308</v>
      </c>
      <c r="C105" s="9" t="s">
        <v>309</v>
      </c>
      <c r="D105" s="29" t="s">
        <v>20</v>
      </c>
      <c r="E105" s="9">
        <v>0</v>
      </c>
      <c r="F105" s="9" t="s">
        <v>288</v>
      </c>
      <c r="G105" s="9" t="s">
        <v>232</v>
      </c>
      <c r="H105" s="9"/>
    </row>
    <row r="106" spans="1:8" ht="35.25" customHeight="1">
      <c r="A106" s="17" t="s">
        <v>27</v>
      </c>
      <c r="B106" s="10" t="s">
        <v>310</v>
      </c>
      <c r="C106" s="9" t="s">
        <v>311</v>
      </c>
      <c r="D106" s="29" t="s">
        <v>20</v>
      </c>
      <c r="E106" s="9">
        <v>0</v>
      </c>
      <c r="F106" s="9" t="s">
        <v>312</v>
      </c>
      <c r="G106" s="9" t="s">
        <v>313</v>
      </c>
      <c r="H106" s="9"/>
    </row>
    <row r="107" spans="1:8" ht="35.25" customHeight="1">
      <c r="A107" s="30" t="s">
        <v>26</v>
      </c>
      <c r="B107" s="30" t="s">
        <v>218</v>
      </c>
      <c r="C107" s="30" t="s">
        <v>314</v>
      </c>
      <c r="D107" s="29" t="s">
        <v>20</v>
      </c>
      <c r="E107" s="31">
        <v>0</v>
      </c>
      <c r="F107" s="30" t="s">
        <v>315</v>
      </c>
      <c r="G107" s="30" t="s">
        <v>316</v>
      </c>
      <c r="H107" s="30"/>
    </row>
    <row r="108" spans="1:8" ht="35.25" customHeight="1">
      <c r="A108" s="30" t="s">
        <v>26</v>
      </c>
      <c r="B108" s="30" t="s">
        <v>225</v>
      </c>
      <c r="C108" s="30" t="s">
        <v>317</v>
      </c>
      <c r="D108" s="29" t="s">
        <v>20</v>
      </c>
      <c r="E108" s="31">
        <v>0</v>
      </c>
      <c r="F108" s="30" t="s">
        <v>42</v>
      </c>
      <c r="G108" s="30" t="s">
        <v>318</v>
      </c>
      <c r="H108" s="30"/>
    </row>
    <row r="109" spans="1:8" ht="35.25" customHeight="1">
      <c r="A109" s="30" t="s">
        <v>26</v>
      </c>
      <c r="B109" s="30" t="s">
        <v>227</v>
      </c>
      <c r="C109" s="30" t="s">
        <v>319</v>
      </c>
      <c r="D109" s="29" t="s">
        <v>20</v>
      </c>
      <c r="E109" s="31">
        <v>0</v>
      </c>
      <c r="F109" s="30" t="s">
        <v>292</v>
      </c>
      <c r="G109" s="30" t="s">
        <v>320</v>
      </c>
      <c r="H109" s="30"/>
    </row>
    <row r="110" spans="1:8" ht="35.25" customHeight="1">
      <c r="A110" s="13" t="s">
        <v>17</v>
      </c>
      <c r="B110" s="13" t="s">
        <v>215</v>
      </c>
      <c r="C110" s="13" t="s">
        <v>321</v>
      </c>
      <c r="D110" s="29" t="s">
        <v>20</v>
      </c>
      <c r="E110" s="14">
        <v>0</v>
      </c>
      <c r="F110" s="13" t="s">
        <v>21</v>
      </c>
      <c r="G110" s="13" t="s">
        <v>322</v>
      </c>
      <c r="H110" s="13"/>
    </row>
    <row r="111" spans="1:8" ht="35.25" customHeight="1">
      <c r="A111" s="13" t="s">
        <v>17</v>
      </c>
      <c r="B111" s="13" t="s">
        <v>218</v>
      </c>
      <c r="C111" s="13" t="s">
        <v>323</v>
      </c>
      <c r="D111" s="29" t="s">
        <v>20</v>
      </c>
      <c r="E111" s="14">
        <v>0</v>
      </c>
      <c r="F111" s="13" t="s">
        <v>21</v>
      </c>
      <c r="G111" s="13" t="s">
        <v>22</v>
      </c>
      <c r="H111" s="13"/>
    </row>
    <row r="112" spans="1:8" ht="35.25" customHeight="1">
      <c r="A112" s="17" t="s">
        <v>27</v>
      </c>
      <c r="B112" s="10" t="s">
        <v>324</v>
      </c>
      <c r="C112" s="9" t="s">
        <v>325</v>
      </c>
      <c r="D112" s="29" t="s">
        <v>20</v>
      </c>
      <c r="E112" s="9">
        <v>0</v>
      </c>
      <c r="F112" s="9" t="s">
        <v>21</v>
      </c>
      <c r="G112" s="9" t="s">
        <v>22</v>
      </c>
      <c r="H112" s="9" t="s">
        <v>326</v>
      </c>
    </row>
    <row r="113" spans="1:8" ht="35.25" customHeight="1">
      <c r="A113" s="13" t="s">
        <v>17</v>
      </c>
      <c r="B113" s="13" t="s">
        <v>327</v>
      </c>
      <c r="C113" s="13" t="s">
        <v>328</v>
      </c>
      <c r="D113" s="29" t="s">
        <v>20</v>
      </c>
      <c r="E113" s="14">
        <v>4</v>
      </c>
      <c r="F113" s="13" t="s">
        <v>154</v>
      </c>
      <c r="G113" s="13" t="s">
        <v>63</v>
      </c>
      <c r="H113" s="13"/>
    </row>
    <row r="114" spans="1:8" ht="35.25" customHeight="1">
      <c r="A114" s="33" t="s">
        <v>329</v>
      </c>
      <c r="B114" s="33">
        <v>1</v>
      </c>
      <c r="C114" s="33" t="s">
        <v>330</v>
      </c>
      <c r="D114" s="29" t="s">
        <v>20</v>
      </c>
      <c r="E114" s="34">
        <v>0</v>
      </c>
      <c r="F114" s="33" t="s">
        <v>42</v>
      </c>
      <c r="G114" s="33" t="s">
        <v>67</v>
      </c>
      <c r="H114" s="33"/>
    </row>
    <row r="115" spans="1:8" ht="35.25" customHeight="1">
      <c r="A115" s="17" t="s">
        <v>27</v>
      </c>
      <c r="B115" s="10" t="s">
        <v>331</v>
      </c>
      <c r="C115" s="9" t="s">
        <v>332</v>
      </c>
      <c r="D115" s="29" t="s">
        <v>20</v>
      </c>
      <c r="E115" s="9">
        <v>2</v>
      </c>
      <c r="F115" s="9" t="s">
        <v>333</v>
      </c>
      <c r="G115" s="9" t="s">
        <v>67</v>
      </c>
      <c r="H115" s="9"/>
    </row>
    <row r="116" spans="1:8" ht="35.25" customHeight="1">
      <c r="A116" s="17" t="s">
        <v>27</v>
      </c>
      <c r="B116" s="10" t="s">
        <v>334</v>
      </c>
      <c r="C116" s="9" t="s">
        <v>335</v>
      </c>
      <c r="D116" s="29" t="s">
        <v>20</v>
      </c>
      <c r="E116" s="9">
        <v>1</v>
      </c>
      <c r="F116" s="9" t="s">
        <v>210</v>
      </c>
      <c r="G116" s="9" t="s">
        <v>67</v>
      </c>
      <c r="H116" s="9"/>
    </row>
    <row r="117" spans="1:8" ht="35.25" customHeight="1">
      <c r="A117" s="17" t="s">
        <v>27</v>
      </c>
      <c r="B117" s="10" t="s">
        <v>336</v>
      </c>
      <c r="C117" s="9" t="s">
        <v>337</v>
      </c>
      <c r="D117" s="29" t="s">
        <v>20</v>
      </c>
      <c r="E117" s="9">
        <v>2</v>
      </c>
      <c r="F117" s="9" t="s">
        <v>66</v>
      </c>
      <c r="G117" s="9" t="s">
        <v>67</v>
      </c>
      <c r="H117" s="9"/>
    </row>
    <row r="118" spans="1:8" ht="35.25" customHeight="1">
      <c r="A118" s="17" t="s">
        <v>27</v>
      </c>
      <c r="B118" s="10" t="s">
        <v>338</v>
      </c>
      <c r="C118" s="9" t="s">
        <v>339</v>
      </c>
      <c r="D118" s="29" t="s">
        <v>20</v>
      </c>
      <c r="E118" s="9">
        <v>1</v>
      </c>
      <c r="F118" s="9" t="s">
        <v>340</v>
      </c>
      <c r="G118" s="9" t="s">
        <v>67</v>
      </c>
      <c r="H118" s="9"/>
    </row>
    <row r="119" spans="1:8" ht="35.25" customHeight="1">
      <c r="A119" s="17" t="s">
        <v>27</v>
      </c>
      <c r="B119" s="10" t="s">
        <v>341</v>
      </c>
      <c r="C119" s="9" t="s">
        <v>342</v>
      </c>
      <c r="D119" s="29" t="s">
        <v>20</v>
      </c>
      <c r="E119" s="9">
        <v>1</v>
      </c>
      <c r="F119" s="9" t="s">
        <v>333</v>
      </c>
      <c r="G119" s="9" t="s">
        <v>67</v>
      </c>
      <c r="H119" s="9"/>
    </row>
    <row r="120" spans="1:8" ht="35.25" customHeight="1">
      <c r="A120" s="17" t="s">
        <v>27</v>
      </c>
      <c r="B120" s="10" t="s">
        <v>343</v>
      </c>
      <c r="C120" s="9" t="s">
        <v>344</v>
      </c>
      <c r="D120" s="29" t="s">
        <v>20</v>
      </c>
      <c r="E120" s="9">
        <v>3</v>
      </c>
      <c r="F120" s="9" t="s">
        <v>333</v>
      </c>
      <c r="G120" s="9" t="s">
        <v>67</v>
      </c>
      <c r="H120" s="9"/>
    </row>
    <row r="121" spans="1:8" ht="35.25" customHeight="1">
      <c r="A121" s="17" t="s">
        <v>27</v>
      </c>
      <c r="B121" s="10" t="s">
        <v>345</v>
      </c>
      <c r="C121" s="9" t="s">
        <v>346</v>
      </c>
      <c r="D121" s="29" t="s">
        <v>20</v>
      </c>
      <c r="E121" s="9">
        <v>2</v>
      </c>
      <c r="F121" s="9" t="s">
        <v>347</v>
      </c>
      <c r="G121" s="9" t="s">
        <v>67</v>
      </c>
      <c r="H121" s="9"/>
    </row>
    <row r="122" spans="1:8" ht="35.25" customHeight="1">
      <c r="A122" s="17" t="s">
        <v>27</v>
      </c>
      <c r="B122" s="10" t="s">
        <v>348</v>
      </c>
      <c r="C122" s="9" t="s">
        <v>349</v>
      </c>
      <c r="D122" s="29" t="s">
        <v>20</v>
      </c>
      <c r="E122" s="9">
        <v>1</v>
      </c>
      <c r="F122" s="9" t="s">
        <v>350</v>
      </c>
      <c r="G122" s="9" t="s">
        <v>67</v>
      </c>
      <c r="H122" s="9"/>
    </row>
    <row r="123" spans="1:8" ht="35.25" customHeight="1">
      <c r="A123" s="17" t="s">
        <v>27</v>
      </c>
      <c r="B123" s="10" t="s">
        <v>351</v>
      </c>
      <c r="C123" s="9" t="s">
        <v>352</v>
      </c>
      <c r="D123" s="29" t="s">
        <v>20</v>
      </c>
      <c r="E123" s="9">
        <v>2</v>
      </c>
      <c r="F123" s="9" t="s">
        <v>353</v>
      </c>
      <c r="G123" s="9" t="s">
        <v>67</v>
      </c>
      <c r="H123" s="9"/>
    </row>
    <row r="124" spans="1:8" ht="35.25" customHeight="1">
      <c r="A124" s="17" t="s">
        <v>27</v>
      </c>
      <c r="B124" s="10" t="s">
        <v>354</v>
      </c>
      <c r="C124" s="9" t="s">
        <v>355</v>
      </c>
      <c r="D124" s="29" t="s">
        <v>20</v>
      </c>
      <c r="E124" s="9">
        <v>1</v>
      </c>
      <c r="F124" s="9" t="s">
        <v>356</v>
      </c>
      <c r="G124" s="9" t="s">
        <v>67</v>
      </c>
      <c r="H124" s="9"/>
    </row>
    <row r="125" spans="1:8" ht="35.25" customHeight="1">
      <c r="A125" s="17" t="s">
        <v>27</v>
      </c>
      <c r="B125" s="10" t="s">
        <v>357</v>
      </c>
      <c r="C125" s="9" t="s">
        <v>358</v>
      </c>
      <c r="D125" s="29" t="s">
        <v>20</v>
      </c>
      <c r="E125" s="9">
        <v>0</v>
      </c>
      <c r="F125" s="9" t="s">
        <v>359</v>
      </c>
      <c r="G125" s="9" t="s">
        <v>67</v>
      </c>
      <c r="H125" s="9"/>
    </row>
    <row r="126" spans="1:8" ht="35.25" customHeight="1">
      <c r="A126" s="17" t="s">
        <v>27</v>
      </c>
      <c r="B126" s="10" t="s">
        <v>360</v>
      </c>
      <c r="C126" s="9" t="s">
        <v>361</v>
      </c>
      <c r="D126" s="29" t="s">
        <v>20</v>
      </c>
      <c r="E126" s="9">
        <v>0</v>
      </c>
      <c r="F126" s="9" t="s">
        <v>362</v>
      </c>
      <c r="G126" s="9" t="s">
        <v>67</v>
      </c>
      <c r="H126" s="9"/>
    </row>
    <row r="127" spans="1:8" ht="35.25" customHeight="1">
      <c r="A127" s="17" t="s">
        <v>27</v>
      </c>
      <c r="B127" s="10" t="s">
        <v>363</v>
      </c>
      <c r="C127" s="9" t="s">
        <v>364</v>
      </c>
      <c r="D127" s="29" t="s">
        <v>20</v>
      </c>
      <c r="E127" s="9">
        <v>0</v>
      </c>
      <c r="F127" s="9" t="s">
        <v>365</v>
      </c>
      <c r="G127" s="9" t="s">
        <v>67</v>
      </c>
      <c r="H127" s="9"/>
    </row>
    <row r="128" spans="1:8" ht="35.25" customHeight="1">
      <c r="A128" s="17" t="s">
        <v>27</v>
      </c>
      <c r="B128" s="10" t="s">
        <v>366</v>
      </c>
      <c r="C128" s="9" t="s">
        <v>367</v>
      </c>
      <c r="D128" s="29" t="s">
        <v>20</v>
      </c>
      <c r="E128" s="9">
        <v>0</v>
      </c>
      <c r="F128" s="9" t="s">
        <v>368</v>
      </c>
      <c r="G128" s="9" t="s">
        <v>67</v>
      </c>
      <c r="H128" s="9"/>
    </row>
    <row r="129" spans="1:8" ht="35.25" customHeight="1">
      <c r="A129" s="17" t="s">
        <v>27</v>
      </c>
      <c r="B129" s="10" t="s">
        <v>369</v>
      </c>
      <c r="C129" s="9" t="s">
        <v>370</v>
      </c>
      <c r="D129" s="29" t="s">
        <v>20</v>
      </c>
      <c r="E129" s="9">
        <v>0</v>
      </c>
      <c r="F129" s="9" t="s">
        <v>368</v>
      </c>
      <c r="G129" s="9" t="s">
        <v>67</v>
      </c>
      <c r="H129" s="9"/>
    </row>
    <row r="130" spans="1:8" ht="35.25" customHeight="1">
      <c r="A130" s="17" t="s">
        <v>27</v>
      </c>
      <c r="B130" s="10" t="s">
        <v>371</v>
      </c>
      <c r="C130" s="9" t="s">
        <v>372</v>
      </c>
      <c r="D130" s="29" t="s">
        <v>20</v>
      </c>
      <c r="E130" s="9">
        <v>0</v>
      </c>
      <c r="F130" s="9" t="s">
        <v>373</v>
      </c>
      <c r="G130" s="9" t="s">
        <v>67</v>
      </c>
      <c r="H130" s="9"/>
    </row>
    <row r="131" spans="1:8" ht="35.25" customHeight="1">
      <c r="A131" s="17" t="s">
        <v>27</v>
      </c>
      <c r="B131" s="10" t="s">
        <v>374</v>
      </c>
      <c r="C131" s="9" t="s">
        <v>375</v>
      </c>
      <c r="D131" s="29" t="s">
        <v>20</v>
      </c>
      <c r="E131" s="9">
        <v>0</v>
      </c>
      <c r="F131" s="9" t="s">
        <v>376</v>
      </c>
      <c r="G131" s="9" t="s">
        <v>67</v>
      </c>
      <c r="H131" s="9"/>
    </row>
    <row r="132" spans="1:8" ht="35.25" customHeight="1">
      <c r="A132" s="17" t="s">
        <v>27</v>
      </c>
      <c r="B132" s="10" t="s">
        <v>377</v>
      </c>
      <c r="C132" s="9" t="s">
        <v>378</v>
      </c>
      <c r="D132" s="29" t="s">
        <v>20</v>
      </c>
      <c r="E132" s="9">
        <v>0</v>
      </c>
      <c r="F132" s="9" t="s">
        <v>379</v>
      </c>
      <c r="G132" s="9" t="s">
        <v>67</v>
      </c>
      <c r="H132" s="9" t="s">
        <v>326</v>
      </c>
    </row>
    <row r="133" spans="1:8" ht="35.25" customHeight="1">
      <c r="A133" s="17" t="s">
        <v>27</v>
      </c>
      <c r="B133" s="10" t="s">
        <v>380</v>
      </c>
      <c r="C133" s="9" t="s">
        <v>381</v>
      </c>
      <c r="D133" s="29" t="s">
        <v>20</v>
      </c>
      <c r="E133" s="9">
        <v>0</v>
      </c>
      <c r="F133" s="9" t="s">
        <v>62</v>
      </c>
      <c r="G133" s="9" t="s">
        <v>67</v>
      </c>
      <c r="H133" s="9"/>
    </row>
    <row r="134" spans="1:8" ht="35.25" customHeight="1">
      <c r="A134" s="17" t="s">
        <v>27</v>
      </c>
      <c r="B134" s="10" t="s">
        <v>382</v>
      </c>
      <c r="C134" s="9" t="s">
        <v>383</v>
      </c>
      <c r="D134" s="29" t="s">
        <v>20</v>
      </c>
      <c r="E134" s="9">
        <v>0</v>
      </c>
      <c r="F134" s="9" t="s">
        <v>384</v>
      </c>
      <c r="G134" s="9" t="s">
        <v>385</v>
      </c>
      <c r="H134" s="9"/>
    </row>
    <row r="135" spans="1:8" ht="35.25" customHeight="1">
      <c r="A135" s="17" t="s">
        <v>27</v>
      </c>
      <c r="B135" s="10" t="s">
        <v>386</v>
      </c>
      <c r="C135" s="9" t="s">
        <v>387</v>
      </c>
      <c r="D135" s="29" t="s">
        <v>20</v>
      </c>
      <c r="E135" s="9">
        <v>0</v>
      </c>
      <c r="F135" s="9" t="s">
        <v>384</v>
      </c>
      <c r="G135" s="9" t="s">
        <v>385</v>
      </c>
      <c r="H135" s="9"/>
    </row>
    <row r="136" spans="1:8" ht="35.25" customHeight="1">
      <c r="A136" s="17" t="s">
        <v>27</v>
      </c>
      <c r="B136" s="10" t="s">
        <v>388</v>
      </c>
      <c r="C136" s="9" t="s">
        <v>389</v>
      </c>
      <c r="D136" s="29" t="s">
        <v>20</v>
      </c>
      <c r="E136" s="9">
        <v>2</v>
      </c>
      <c r="F136" s="9" t="s">
        <v>390</v>
      </c>
      <c r="G136" s="9" t="s">
        <v>67</v>
      </c>
      <c r="H136" s="9"/>
    </row>
    <row r="137" spans="1:8" ht="35.25" customHeight="1">
      <c r="A137" s="17" t="s">
        <v>27</v>
      </c>
      <c r="B137" s="10" t="s">
        <v>391</v>
      </c>
      <c r="C137" s="9" t="s">
        <v>392</v>
      </c>
      <c r="D137" s="29" t="s">
        <v>20</v>
      </c>
      <c r="E137" s="9">
        <v>0</v>
      </c>
      <c r="F137" s="9" t="s">
        <v>393</v>
      </c>
      <c r="G137" s="9" t="s">
        <v>67</v>
      </c>
      <c r="H137" s="9"/>
    </row>
    <row r="138" spans="1:8" ht="35.25" customHeight="1">
      <c r="A138" s="35" t="s">
        <v>394</v>
      </c>
      <c r="B138" s="35">
        <v>1</v>
      </c>
      <c r="C138" s="35" t="s">
        <v>395</v>
      </c>
      <c r="D138" s="29" t="s">
        <v>20</v>
      </c>
      <c r="E138" s="36">
        <v>0</v>
      </c>
      <c r="F138" s="35" t="s">
        <v>396</v>
      </c>
      <c r="G138" s="35" t="s">
        <v>67</v>
      </c>
      <c r="H138" s="35"/>
    </row>
    <row r="139" spans="1:8" ht="35.25" customHeight="1">
      <c r="A139" s="35" t="s">
        <v>397</v>
      </c>
      <c r="B139" s="35">
        <v>1</v>
      </c>
      <c r="C139" s="35" t="s">
        <v>398</v>
      </c>
      <c r="D139" s="29" t="s">
        <v>20</v>
      </c>
      <c r="E139" s="36">
        <v>0</v>
      </c>
      <c r="F139" s="35" t="s">
        <v>396</v>
      </c>
      <c r="G139" s="35" t="s">
        <v>67</v>
      </c>
      <c r="H139" s="35"/>
    </row>
    <row r="140" spans="1:8" ht="35.25" customHeight="1">
      <c r="A140" s="35" t="s">
        <v>399</v>
      </c>
      <c r="B140" s="35">
        <v>1</v>
      </c>
      <c r="C140" s="35" t="s">
        <v>400</v>
      </c>
      <c r="D140" s="29" t="s">
        <v>20</v>
      </c>
      <c r="E140" s="36">
        <v>0</v>
      </c>
      <c r="F140" s="35" t="s">
        <v>396</v>
      </c>
      <c r="G140" s="35" t="s">
        <v>67</v>
      </c>
      <c r="H140" s="35"/>
    </row>
    <row r="141" spans="1:8" ht="35.25" customHeight="1">
      <c r="A141" s="37" t="s">
        <v>34</v>
      </c>
      <c r="B141" s="37">
        <v>1</v>
      </c>
      <c r="C141" s="37" t="s">
        <v>401</v>
      </c>
      <c r="D141" s="29" t="s">
        <v>20</v>
      </c>
      <c r="E141" s="38">
        <v>2</v>
      </c>
      <c r="F141" s="37" t="s">
        <v>402</v>
      </c>
      <c r="G141" s="37" t="s">
        <v>67</v>
      </c>
      <c r="H141" s="39"/>
    </row>
    <row r="142" spans="1:8" ht="35.25" customHeight="1">
      <c r="A142" s="37" t="s">
        <v>34</v>
      </c>
      <c r="B142" s="37">
        <v>2</v>
      </c>
      <c r="C142" s="37" t="s">
        <v>403</v>
      </c>
      <c r="D142" s="29" t="s">
        <v>20</v>
      </c>
      <c r="E142" s="38">
        <v>2</v>
      </c>
      <c r="F142" s="37" t="s">
        <v>404</v>
      </c>
      <c r="G142" s="37" t="s">
        <v>67</v>
      </c>
      <c r="H142" s="37"/>
    </row>
    <row r="143" spans="1:8" ht="35.25" customHeight="1">
      <c r="A143" s="37" t="s">
        <v>34</v>
      </c>
      <c r="B143" s="37">
        <v>3</v>
      </c>
      <c r="C143" s="37" t="s">
        <v>405</v>
      </c>
      <c r="D143" s="29" t="s">
        <v>20</v>
      </c>
      <c r="E143" s="38">
        <v>3</v>
      </c>
      <c r="F143" s="37" t="s">
        <v>191</v>
      </c>
      <c r="G143" s="37" t="s">
        <v>67</v>
      </c>
      <c r="H143" s="37"/>
    </row>
    <row r="144" spans="1:8" ht="35.25" customHeight="1">
      <c r="A144" s="37" t="s">
        <v>34</v>
      </c>
      <c r="B144" s="37">
        <v>4</v>
      </c>
      <c r="C144" s="37" t="s">
        <v>406</v>
      </c>
      <c r="D144" s="29" t="s">
        <v>20</v>
      </c>
      <c r="E144" s="38">
        <v>1</v>
      </c>
      <c r="F144" s="37" t="s">
        <v>407</v>
      </c>
      <c r="G144" s="37" t="s">
        <v>67</v>
      </c>
      <c r="H144" s="37"/>
    </row>
    <row r="145" spans="1:8" ht="35.25" customHeight="1">
      <c r="A145" s="37" t="s">
        <v>34</v>
      </c>
      <c r="B145" s="37">
        <v>5</v>
      </c>
      <c r="C145" s="37" t="s">
        <v>408</v>
      </c>
      <c r="D145" s="29" t="s">
        <v>20</v>
      </c>
      <c r="E145" s="38">
        <v>2</v>
      </c>
      <c r="F145" s="37" t="s">
        <v>231</v>
      </c>
      <c r="G145" s="37" t="s">
        <v>67</v>
      </c>
      <c r="H145" s="37"/>
    </row>
    <row r="146" spans="1:8" ht="35.25" customHeight="1">
      <c r="A146" s="37" t="s">
        <v>34</v>
      </c>
      <c r="B146" s="37">
        <v>6</v>
      </c>
      <c r="C146" s="37" t="s">
        <v>409</v>
      </c>
      <c r="D146" s="29" t="s">
        <v>20</v>
      </c>
      <c r="E146" s="38">
        <v>3</v>
      </c>
      <c r="F146" s="37" t="s">
        <v>410</v>
      </c>
      <c r="G146" s="37" t="s">
        <v>67</v>
      </c>
      <c r="H146" s="37"/>
    </row>
    <row r="147" spans="1:8" ht="35.25" customHeight="1">
      <c r="A147" s="37" t="s">
        <v>34</v>
      </c>
      <c r="B147" s="37">
        <v>7</v>
      </c>
      <c r="C147" s="37" t="s">
        <v>411</v>
      </c>
      <c r="D147" s="29" t="s">
        <v>20</v>
      </c>
      <c r="E147" s="38">
        <v>1</v>
      </c>
      <c r="F147" s="37" t="s">
        <v>412</v>
      </c>
      <c r="G147" s="37" t="s">
        <v>67</v>
      </c>
      <c r="H147" s="37"/>
    </row>
    <row r="148" spans="1:8" ht="35.25" customHeight="1">
      <c r="A148" s="37" t="s">
        <v>34</v>
      </c>
      <c r="B148" s="37">
        <v>8</v>
      </c>
      <c r="C148" s="37" t="s">
        <v>413</v>
      </c>
      <c r="D148" s="29" t="s">
        <v>20</v>
      </c>
      <c r="E148" s="38">
        <v>2</v>
      </c>
      <c r="F148" s="37" t="s">
        <v>414</v>
      </c>
      <c r="G148" s="37" t="s">
        <v>415</v>
      </c>
      <c r="H148" s="37"/>
    </row>
    <row r="149" spans="1:8" ht="35.25" customHeight="1">
      <c r="A149" s="37" t="s">
        <v>34</v>
      </c>
      <c r="B149" s="37">
        <v>9</v>
      </c>
      <c r="C149" s="37" t="s">
        <v>416</v>
      </c>
      <c r="D149" s="29" t="s">
        <v>20</v>
      </c>
      <c r="E149" s="38">
        <v>3</v>
      </c>
      <c r="F149" s="37" t="s">
        <v>393</v>
      </c>
      <c r="G149" s="37" t="s">
        <v>415</v>
      </c>
      <c r="H149" s="37"/>
    </row>
    <row r="150" spans="1:8" ht="35.25" customHeight="1">
      <c r="A150" s="37" t="s">
        <v>34</v>
      </c>
      <c r="B150" s="37">
        <v>10</v>
      </c>
      <c r="C150" s="37" t="s">
        <v>417</v>
      </c>
      <c r="D150" s="29" t="s">
        <v>20</v>
      </c>
      <c r="E150" s="38">
        <v>1</v>
      </c>
      <c r="F150" s="37" t="s">
        <v>412</v>
      </c>
      <c r="G150" s="37" t="s">
        <v>415</v>
      </c>
      <c r="H150" s="37"/>
    </row>
    <row r="151" spans="1:8" ht="35.25" customHeight="1">
      <c r="A151" s="37" t="s">
        <v>34</v>
      </c>
      <c r="B151" s="37">
        <v>11</v>
      </c>
      <c r="C151" s="37" t="s">
        <v>418</v>
      </c>
      <c r="D151" s="29" t="s">
        <v>20</v>
      </c>
      <c r="E151" s="38">
        <v>4</v>
      </c>
      <c r="F151" s="37" t="s">
        <v>340</v>
      </c>
      <c r="G151" s="37" t="s">
        <v>415</v>
      </c>
      <c r="H151" s="37"/>
    </row>
    <row r="152" spans="1:8" ht="35.25" customHeight="1">
      <c r="A152" s="37" t="s">
        <v>34</v>
      </c>
      <c r="B152" s="37">
        <v>12</v>
      </c>
      <c r="C152" s="37" t="s">
        <v>419</v>
      </c>
      <c r="D152" s="29" t="s">
        <v>20</v>
      </c>
      <c r="E152" s="38">
        <v>1</v>
      </c>
      <c r="F152" s="37" t="s">
        <v>420</v>
      </c>
      <c r="G152" s="37" t="s">
        <v>415</v>
      </c>
      <c r="H152" s="37"/>
    </row>
    <row r="153" spans="1:8" ht="35.25" customHeight="1">
      <c r="A153" s="37" t="s">
        <v>34</v>
      </c>
      <c r="B153" s="37">
        <v>13</v>
      </c>
      <c r="C153" s="37" t="s">
        <v>421</v>
      </c>
      <c r="D153" s="29" t="s">
        <v>20</v>
      </c>
      <c r="E153" s="38">
        <v>0</v>
      </c>
      <c r="F153" s="37" t="s">
        <v>422</v>
      </c>
      <c r="G153" s="37" t="s">
        <v>415</v>
      </c>
      <c r="H153" s="37"/>
    </row>
    <row r="154" spans="1:8" ht="35.25" customHeight="1">
      <c r="A154" s="37" t="s">
        <v>34</v>
      </c>
      <c r="B154" s="37">
        <v>14</v>
      </c>
      <c r="C154" s="37" t="s">
        <v>423</v>
      </c>
      <c r="D154" s="29" t="s">
        <v>20</v>
      </c>
      <c r="E154" s="38">
        <v>1</v>
      </c>
      <c r="F154" s="37" t="s">
        <v>424</v>
      </c>
      <c r="G154" s="37" t="s">
        <v>415</v>
      </c>
      <c r="H154" s="37"/>
    </row>
    <row r="155" spans="1:8" ht="35.25" customHeight="1">
      <c r="A155" s="37" t="s">
        <v>34</v>
      </c>
      <c r="B155" s="37">
        <v>15</v>
      </c>
      <c r="C155" s="37" t="s">
        <v>425</v>
      </c>
      <c r="D155" s="29" t="s">
        <v>20</v>
      </c>
      <c r="E155" s="38">
        <v>1</v>
      </c>
      <c r="F155" s="37" t="s">
        <v>426</v>
      </c>
      <c r="G155" s="37" t="s">
        <v>67</v>
      </c>
      <c r="H155" s="37"/>
    </row>
    <row r="156" spans="1:8" ht="35.25" customHeight="1">
      <c r="A156" s="37" t="s">
        <v>34</v>
      </c>
      <c r="B156" s="37">
        <v>16</v>
      </c>
      <c r="C156" s="37" t="s">
        <v>427</v>
      </c>
      <c r="D156" s="29" t="s">
        <v>20</v>
      </c>
      <c r="E156" s="38">
        <v>2</v>
      </c>
      <c r="F156" s="37" t="s">
        <v>428</v>
      </c>
      <c r="G156" s="37" t="s">
        <v>415</v>
      </c>
      <c r="H156" s="37"/>
    </row>
    <row r="157" spans="1:8" ht="35.25" customHeight="1">
      <c r="A157" s="37" t="s">
        <v>34</v>
      </c>
      <c r="B157" s="37">
        <v>17</v>
      </c>
      <c r="C157" s="37" t="s">
        <v>429</v>
      </c>
      <c r="D157" s="29" t="s">
        <v>20</v>
      </c>
      <c r="E157" s="38">
        <v>0</v>
      </c>
      <c r="F157" s="37" t="s">
        <v>430</v>
      </c>
      <c r="G157" s="37" t="s">
        <v>415</v>
      </c>
      <c r="H157" s="37"/>
    </row>
    <row r="158" spans="1:8" ht="35.25" customHeight="1">
      <c r="A158" s="40" t="s">
        <v>37</v>
      </c>
      <c r="B158" s="40">
        <v>1</v>
      </c>
      <c r="C158" s="40" t="s">
        <v>431</v>
      </c>
      <c r="D158" s="29" t="s">
        <v>20</v>
      </c>
      <c r="E158" s="41">
        <v>0</v>
      </c>
      <c r="F158" s="22" t="s">
        <v>432</v>
      </c>
      <c r="G158" s="22" t="s">
        <v>415</v>
      </c>
      <c r="H158" s="22"/>
    </row>
    <row r="159" spans="1:8" ht="35.25" customHeight="1">
      <c r="A159" s="40" t="s">
        <v>37</v>
      </c>
      <c r="B159" s="40">
        <v>2</v>
      </c>
      <c r="C159" s="40" t="s">
        <v>433</v>
      </c>
      <c r="D159" s="29" t="s">
        <v>20</v>
      </c>
      <c r="E159" s="41">
        <v>1</v>
      </c>
      <c r="F159" s="22" t="s">
        <v>434</v>
      </c>
      <c r="G159" s="22" t="s">
        <v>415</v>
      </c>
      <c r="H159" s="22"/>
    </row>
    <row r="160" spans="1:8" ht="35.25" customHeight="1">
      <c r="A160" s="40" t="s">
        <v>37</v>
      </c>
      <c r="B160" s="40">
        <v>3</v>
      </c>
      <c r="C160" s="40" t="s">
        <v>435</v>
      </c>
      <c r="D160" s="29" t="s">
        <v>20</v>
      </c>
      <c r="E160" s="41">
        <v>5</v>
      </c>
      <c r="F160" s="22" t="s">
        <v>428</v>
      </c>
      <c r="G160" s="22" t="s">
        <v>415</v>
      </c>
      <c r="H160" s="22"/>
    </row>
    <row r="161" spans="1:8" ht="35.25" customHeight="1">
      <c r="A161" s="40" t="s">
        <v>37</v>
      </c>
      <c r="B161" s="40">
        <v>4</v>
      </c>
      <c r="C161" s="40" t="s">
        <v>436</v>
      </c>
      <c r="D161" s="29" t="s">
        <v>20</v>
      </c>
      <c r="E161" s="41">
        <v>0</v>
      </c>
      <c r="F161" s="22" t="s">
        <v>368</v>
      </c>
      <c r="G161" s="22" t="s">
        <v>415</v>
      </c>
      <c r="H161" s="22"/>
    </row>
    <row r="162" spans="1:8" ht="35.25" customHeight="1">
      <c r="A162" s="40" t="s">
        <v>37</v>
      </c>
      <c r="B162" s="40">
        <v>6</v>
      </c>
      <c r="C162" s="40" t="s">
        <v>437</v>
      </c>
      <c r="D162" s="29" t="s">
        <v>20</v>
      </c>
      <c r="E162" s="41">
        <v>0</v>
      </c>
      <c r="F162" s="22" t="s">
        <v>438</v>
      </c>
      <c r="G162" s="22" t="s">
        <v>415</v>
      </c>
      <c r="H162" s="22"/>
    </row>
    <row r="163" spans="1:8" ht="35.25" customHeight="1">
      <c r="A163" s="40" t="s">
        <v>37</v>
      </c>
      <c r="B163" s="40">
        <v>7</v>
      </c>
      <c r="C163" s="40" t="s">
        <v>439</v>
      </c>
      <c r="D163" s="29" t="s">
        <v>20</v>
      </c>
      <c r="E163" s="41">
        <v>1</v>
      </c>
      <c r="F163" s="22" t="s">
        <v>438</v>
      </c>
      <c r="G163" s="22" t="s">
        <v>415</v>
      </c>
      <c r="H163" s="22"/>
    </row>
    <row r="164" spans="1:8" ht="35.25" customHeight="1">
      <c r="A164" s="13" t="s">
        <v>17</v>
      </c>
      <c r="B164" s="13" t="s">
        <v>440</v>
      </c>
      <c r="C164" s="13" t="s">
        <v>441</v>
      </c>
      <c r="D164" s="29" t="s">
        <v>20</v>
      </c>
      <c r="E164" s="14">
        <v>0</v>
      </c>
      <c r="F164" s="13" t="s">
        <v>21</v>
      </c>
      <c r="G164" s="13" t="s">
        <v>63</v>
      </c>
      <c r="H164" s="13"/>
    </row>
    <row r="165" spans="1:8" ht="35.25" customHeight="1">
      <c r="A165" s="17" t="s">
        <v>27</v>
      </c>
      <c r="B165" s="10" t="s">
        <v>442</v>
      </c>
      <c r="C165" s="9" t="s">
        <v>443</v>
      </c>
      <c r="D165" s="29" t="s">
        <v>20</v>
      </c>
      <c r="E165" s="9">
        <v>2</v>
      </c>
      <c r="F165" s="9" t="s">
        <v>444</v>
      </c>
      <c r="G165" s="9" t="s">
        <v>16</v>
      </c>
      <c r="H165" s="9"/>
    </row>
    <row r="166" spans="1:8" ht="35.25" customHeight="1">
      <c r="A166" s="17" t="s">
        <v>27</v>
      </c>
      <c r="B166" s="10" t="s">
        <v>445</v>
      </c>
      <c r="C166" s="9" t="s">
        <v>446</v>
      </c>
      <c r="D166" s="29" t="s">
        <v>20</v>
      </c>
      <c r="E166" s="9">
        <v>3</v>
      </c>
      <c r="F166" s="9" t="s">
        <v>447</v>
      </c>
      <c r="G166" s="9" t="s">
        <v>448</v>
      </c>
      <c r="H166" s="9"/>
    </row>
    <row r="167" spans="1:8" ht="35.25" customHeight="1">
      <c r="A167" s="17" t="s">
        <v>27</v>
      </c>
      <c r="B167" s="10" t="s">
        <v>449</v>
      </c>
      <c r="C167" s="9" t="s">
        <v>450</v>
      </c>
      <c r="D167" s="29" t="s">
        <v>20</v>
      </c>
      <c r="E167" s="9">
        <v>0</v>
      </c>
      <c r="F167" s="9" t="s">
        <v>21</v>
      </c>
      <c r="G167" s="9" t="s">
        <v>67</v>
      </c>
      <c r="H167" s="9"/>
    </row>
    <row r="168" spans="1:8" ht="35.25" customHeight="1">
      <c r="A168" s="17" t="s">
        <v>27</v>
      </c>
      <c r="B168" s="10" t="s">
        <v>451</v>
      </c>
      <c r="C168" s="9" t="s">
        <v>452</v>
      </c>
      <c r="D168" s="29" t="s">
        <v>20</v>
      </c>
      <c r="E168" s="9">
        <v>1</v>
      </c>
      <c r="F168" s="9" t="s">
        <v>453</v>
      </c>
      <c r="G168" s="9" t="s">
        <v>454</v>
      </c>
      <c r="H168" s="9"/>
    </row>
    <row r="169" spans="1:8" ht="35.25" customHeight="1">
      <c r="A169" s="42" t="s">
        <v>27</v>
      </c>
      <c r="B169" s="10" t="s">
        <v>455</v>
      </c>
      <c r="C169" s="9" t="s">
        <v>456</v>
      </c>
      <c r="D169" s="29" t="s">
        <v>20</v>
      </c>
      <c r="E169" s="9">
        <v>0</v>
      </c>
      <c r="F169" s="9" t="s">
        <v>21</v>
      </c>
      <c r="G169" s="9" t="s">
        <v>33</v>
      </c>
      <c r="H169" s="9" t="s">
        <v>326</v>
      </c>
    </row>
    <row r="170" spans="1:8" ht="35.25" customHeight="1">
      <c r="A170" s="17" t="s">
        <v>27</v>
      </c>
      <c r="B170" s="10" t="s">
        <v>457</v>
      </c>
      <c r="C170" s="9" t="s">
        <v>458</v>
      </c>
      <c r="D170" s="29" t="s">
        <v>20</v>
      </c>
      <c r="E170" s="9">
        <v>0</v>
      </c>
      <c r="F170" s="9" t="s">
        <v>459</v>
      </c>
      <c r="G170" s="9" t="s">
        <v>460</v>
      </c>
      <c r="H170" s="9"/>
    </row>
    <row r="171" spans="1:8" ht="35.25" customHeight="1">
      <c r="A171" s="17" t="s">
        <v>27</v>
      </c>
      <c r="B171" s="10" t="s">
        <v>461</v>
      </c>
      <c r="C171" s="9" t="s">
        <v>462</v>
      </c>
      <c r="D171" s="29" t="s">
        <v>20</v>
      </c>
      <c r="E171" s="9">
        <v>0</v>
      </c>
      <c r="F171" s="9" t="s">
        <v>463</v>
      </c>
      <c r="G171" s="9" t="s">
        <v>464</v>
      </c>
      <c r="H171" s="9"/>
    </row>
    <row r="172" spans="1:8" ht="35.25" customHeight="1">
      <c r="A172" s="13" t="s">
        <v>17</v>
      </c>
      <c r="B172" s="13">
        <v>9</v>
      </c>
      <c r="C172" s="13" t="s">
        <v>465</v>
      </c>
      <c r="D172" s="29" t="s">
        <v>20</v>
      </c>
      <c r="E172" s="14">
        <v>2</v>
      </c>
      <c r="F172" s="13" t="s">
        <v>466</v>
      </c>
      <c r="G172" s="13" t="s">
        <v>460</v>
      </c>
      <c r="H172" s="13"/>
    </row>
    <row r="173" spans="1:8" ht="35.25" customHeight="1">
      <c r="A173" s="17" t="s">
        <v>27</v>
      </c>
      <c r="B173" s="10" t="s">
        <v>467</v>
      </c>
      <c r="C173" s="9" t="s">
        <v>468</v>
      </c>
      <c r="D173" s="29" t="s">
        <v>20</v>
      </c>
      <c r="E173" s="9">
        <v>0</v>
      </c>
      <c r="F173" s="9" t="s">
        <v>21</v>
      </c>
      <c r="G173" s="9" t="s">
        <v>33</v>
      </c>
      <c r="H173" s="9"/>
    </row>
    <row r="174" spans="1:8" ht="35.25" customHeight="1">
      <c r="A174" s="17" t="s">
        <v>27</v>
      </c>
      <c r="B174" s="10" t="s">
        <v>469</v>
      </c>
      <c r="C174" s="9" t="s">
        <v>470</v>
      </c>
      <c r="D174" s="29" t="s">
        <v>20</v>
      </c>
      <c r="E174" s="9">
        <v>0</v>
      </c>
      <c r="F174" s="9" t="s">
        <v>21</v>
      </c>
      <c r="G174" s="9" t="s">
        <v>33</v>
      </c>
      <c r="H174" s="9"/>
    </row>
    <row r="175" spans="1:8" ht="35.25" customHeight="1">
      <c r="A175" s="13" t="s">
        <v>17</v>
      </c>
      <c r="B175" s="13" t="s">
        <v>471</v>
      </c>
      <c r="C175" s="13" t="s">
        <v>472</v>
      </c>
      <c r="D175" s="29" t="s">
        <v>20</v>
      </c>
      <c r="E175" s="14">
        <v>0</v>
      </c>
      <c r="F175" s="13" t="s">
        <v>21</v>
      </c>
      <c r="G175" s="13" t="s">
        <v>63</v>
      </c>
      <c r="H175" s="13"/>
    </row>
    <row r="176" spans="1:8" ht="35.25" customHeight="1">
      <c r="A176" s="17" t="s">
        <v>27</v>
      </c>
      <c r="B176" s="10" t="s">
        <v>473</v>
      </c>
      <c r="C176" s="9" t="s">
        <v>474</v>
      </c>
      <c r="D176" s="29" t="s">
        <v>20</v>
      </c>
      <c r="E176" s="9">
        <v>0</v>
      </c>
      <c r="F176" s="9" t="s">
        <v>21</v>
      </c>
      <c r="G176" s="9" t="s">
        <v>16</v>
      </c>
      <c r="H176" s="9"/>
    </row>
    <row r="177" spans="1:8" ht="35.25" customHeight="1">
      <c r="A177" s="17" t="s">
        <v>27</v>
      </c>
      <c r="B177" s="10" t="s">
        <v>475</v>
      </c>
      <c r="C177" s="9" t="s">
        <v>476</v>
      </c>
      <c r="D177" s="29" t="s">
        <v>20</v>
      </c>
      <c r="E177" s="9">
        <v>0</v>
      </c>
      <c r="F177" s="9" t="s">
        <v>21</v>
      </c>
      <c r="G177" s="9" t="s">
        <v>16</v>
      </c>
      <c r="H177" s="9"/>
    </row>
    <row r="178" spans="1:8" ht="35.25" customHeight="1">
      <c r="A178" s="17" t="s">
        <v>27</v>
      </c>
      <c r="B178" s="10" t="s">
        <v>477</v>
      </c>
      <c r="C178" s="9" t="s">
        <v>478</v>
      </c>
      <c r="D178" s="9" t="s">
        <v>20</v>
      </c>
      <c r="E178" s="9">
        <v>0</v>
      </c>
      <c r="F178" s="9" t="s">
        <v>21</v>
      </c>
      <c r="G178" s="9" t="s">
        <v>16</v>
      </c>
      <c r="H178" s="9"/>
    </row>
    <row r="179" spans="1:8" ht="35.25" customHeight="1">
      <c r="A179" s="17" t="s">
        <v>27</v>
      </c>
      <c r="B179" s="10" t="s">
        <v>479</v>
      </c>
      <c r="C179" s="9" t="s">
        <v>480</v>
      </c>
      <c r="D179" s="29" t="s">
        <v>20</v>
      </c>
      <c r="E179" s="9">
        <v>0</v>
      </c>
      <c r="F179" s="9" t="s">
        <v>21</v>
      </c>
      <c r="G179" s="9" t="s">
        <v>16</v>
      </c>
      <c r="H179" s="9"/>
    </row>
    <row r="180" spans="1:8" ht="35.25" customHeight="1">
      <c r="A180" s="13" t="s">
        <v>17</v>
      </c>
      <c r="B180" s="13">
        <v>10</v>
      </c>
      <c r="C180" s="13" t="s">
        <v>481</v>
      </c>
      <c r="D180" s="29" t="s">
        <v>20</v>
      </c>
      <c r="E180" s="13">
        <v>1</v>
      </c>
      <c r="F180" s="13" t="s">
        <v>482</v>
      </c>
      <c r="G180" s="13" t="s">
        <v>483</v>
      </c>
      <c r="H180" s="13"/>
    </row>
    <row r="181" spans="1:8" ht="46.5" customHeight="1"/>
  </sheetData>
  <autoFilter ref="A2:H180" xr:uid="{00000000-0009-0000-0000-000000000000}"/>
  <mergeCells count="4">
    <mergeCell ref="J4:K4"/>
    <mergeCell ref="K11:M11"/>
    <mergeCell ref="K12:M12"/>
    <mergeCell ref="K13:M13"/>
  </mergeCells>
  <conditionalFormatting sqref="D3:D18">
    <cfRule type="containsText" dxfId="409" priority="122" operator="containsText" text="NÃO">
      <formula>NOT(ISERROR(SEARCH("NÃO",C8)))</formula>
    </cfRule>
  </conditionalFormatting>
  <conditionalFormatting sqref="D3:D180">
    <cfRule type="cellIs" dxfId="408" priority="1" operator="equal">
      <formula>"NÃO"</formula>
    </cfRule>
    <cfRule type="cellIs" dxfId="407" priority="2" operator="equal">
      <formula>"SIM"</formula>
    </cfRule>
  </conditionalFormatting>
  <conditionalFormatting sqref="D64:D65">
    <cfRule type="containsText" dxfId="406" priority="435" operator="containsText" text="NÃO">
      <formula>NOT(ISERROR(SEARCH("NÃO",C66)))</formula>
    </cfRule>
    <cfRule type="containsText" dxfId="405" priority="440" operator="containsText" text="SIM">
      <formula>NOT(ISERROR(SEARCH("SIM",C66)))</formula>
    </cfRule>
  </conditionalFormatting>
  <conditionalFormatting sqref="D239">
    <cfRule type="containsText" dxfId="404" priority="17" operator="containsText" text="NÃO">
      <formula>NOT(ISERROR(SEARCH("NÃO",C248)))</formula>
    </cfRule>
  </conditionalFormatting>
  <conditionalFormatting sqref="D268:D269">
    <cfRule type="containsText" dxfId="403" priority="45" operator="containsText" text="NÃO">
      <formula>NOT(ISERROR(SEARCH("NÃO",C46)))</formula>
    </cfRule>
  </conditionalFormatting>
  <conditionalFormatting sqref="D227:F407 D3:D18 G3:G18 D181:F223 G221:G224">
    <cfRule type="containsText" dxfId="402" priority="53" operator="containsText" text="SIM">
      <formula>NOT(ISERROR(SEARCH("SIM",B4)))</formula>
    </cfRule>
  </conditionalFormatting>
  <conditionalFormatting sqref="D232:F235">
    <cfRule type="containsText" dxfId="401" priority="102" operator="containsText" text="NÃO">
      <formula>NOT(ISERROR(SEARCH("NÃO",C241)))</formula>
    </cfRule>
  </conditionalFormatting>
  <conditionalFormatting sqref="D286:F308">
    <cfRule type="containsText" dxfId="400" priority="24" operator="containsText" text="NÃO">
      <formula>NOT(ISERROR(SEARCH("NÃO",C295)))</formula>
    </cfRule>
  </conditionalFormatting>
  <conditionalFormatting sqref="D181:H181 D19:D63 D66:D180 G110:H180 D268:F269">
    <cfRule type="containsText" dxfId="399" priority="44" operator="containsText" text="SIM">
      <formula>NOT(ISERROR(SEARCH("SIM",C20)))</formula>
    </cfRule>
  </conditionalFormatting>
  <conditionalFormatting sqref="D181:H181 D181:F223 D312:F312 D314:F314 D316:F316 D318:F318 D320:F320 D322:F322 D324:F324 D326:F326 D328:F328 D330:F330 D332:F332 D334:F334 D336:F336 D338:F338 D340:F340 D342:F342 D344:F344 D346:F346 D348:F348 D350:F350 D352:F352 D354:F354 D356:F356 D358:F358 D360:F360 D362:F362 D364:F364 D366:F366 D368:F368 D370:F370 D372:F372 D374:F407 D19:D63 D66:D180 G110:H180">
    <cfRule type="containsText" dxfId="398" priority="136" operator="containsText" text="NÃO">
      <formula>NOT(ISERROR(SEARCH("NÃO",C20)))</formula>
    </cfRule>
  </conditionalFormatting>
  <conditionalFormatting sqref="G3:G18 G221:G224 D240:F285 G285:G307">
    <cfRule type="containsText" dxfId="397" priority="148" operator="containsText" text="NÃO">
      <formula>NOT(ISERROR(SEARCH("NÃO",C4)))</formula>
    </cfRule>
  </conditionalFormatting>
  <conditionalFormatting sqref="G26">
    <cfRule type="containsText" dxfId="396" priority="395" operator="containsText" text="NÃO">
      <formula>NOT(ISERROR(SEARCH("NÃO",C4)))</formula>
    </cfRule>
    <cfRule type="containsText" dxfId="395" priority="414" operator="containsText" text="SIM">
      <formula>NOT(ISERROR(SEARCH("SIM",B4)))</formula>
    </cfRule>
  </conditionalFormatting>
  <conditionalFormatting sqref="G59">
    <cfRule type="containsText" dxfId="394" priority="396" operator="containsText" text="NÃO">
      <formula>NOT(ISERROR(SEARCH("NÃO",C4)))</formula>
    </cfRule>
    <cfRule type="containsText" dxfId="393" priority="415" operator="containsText" text="SIM">
      <formula>NOT(ISERROR(SEARCH("SIM",B4)))</formula>
    </cfRule>
  </conditionalFormatting>
  <conditionalFormatting sqref="G71">
    <cfRule type="containsText" dxfId="392" priority="397" operator="containsText" text="NÃO">
      <formula>NOT(ISERROR(SEARCH("NÃO",C4)))</formula>
    </cfRule>
    <cfRule type="containsText" dxfId="391" priority="416" operator="containsText" text="SIM">
      <formula>NOT(ISERROR(SEARCH("SIM",B4)))</formula>
    </cfRule>
  </conditionalFormatting>
  <conditionalFormatting sqref="G87">
    <cfRule type="containsText" dxfId="390" priority="406" operator="containsText" text="NÃO">
      <formula>NOT(ISERROR(SEARCH("NÃO",C11)))</formula>
    </cfRule>
    <cfRule type="containsText" dxfId="389" priority="425" operator="containsText" text="SIM">
      <formula>NOT(ISERROR(SEARCH("SIM",C11)))</formula>
    </cfRule>
  </conditionalFormatting>
  <conditionalFormatting sqref="G88">
    <cfRule type="containsText" dxfId="388" priority="407" operator="containsText" text="NÃO">
      <formula>NOT(ISERROR(SEARCH("NÃO",C11)))</formula>
    </cfRule>
    <cfRule type="containsText" dxfId="387" priority="426" operator="containsText" text="SIM">
      <formula>NOT(ISERROR(SEARCH("SIM",C11)))</formula>
    </cfRule>
  </conditionalFormatting>
  <conditionalFormatting sqref="G89">
    <cfRule type="containsText" dxfId="386" priority="408" operator="containsText" text="NÃO">
      <formula>NOT(ISERROR(SEARCH("NÃO",C11)))</formula>
    </cfRule>
    <cfRule type="containsText" dxfId="385" priority="427" operator="containsText" text="SIM">
      <formula>NOT(ISERROR(SEARCH("SIM",C11)))</formula>
    </cfRule>
  </conditionalFormatting>
  <conditionalFormatting sqref="G108:G109">
    <cfRule type="containsText" dxfId="384" priority="409" operator="containsText" text="NÃO">
      <formula>NOT(ISERROR(SEARCH("NÃO",C11)))</formula>
    </cfRule>
    <cfRule type="containsText" dxfId="383" priority="428" operator="containsText" text="SIM">
      <formula>NOT(ISERROR(SEARCH("SIM",C11)))</formula>
    </cfRule>
  </conditionalFormatting>
  <conditionalFormatting sqref="G223:G226 H23:H109 G26:G107 D224:D226">
    <cfRule type="containsText" dxfId="382" priority="393" operator="containsText" text="SIM">
      <formula>NOT(ISERROR(SEARCH("SIM",C24)))</formula>
    </cfRule>
  </conditionalFormatting>
  <conditionalFormatting sqref="H2 H181:H1048576">
    <cfRule type="cellIs" dxfId="381" priority="12" operator="equal">
      <formula>"VERMELHO"</formula>
    </cfRule>
    <cfRule type="cellIs" dxfId="380" priority="13" operator="equal">
      <formula>"AMARELO"</formula>
    </cfRule>
    <cfRule type="cellIs" dxfId="379" priority="14" operator="equal">
      <formula>"VERDE"</formula>
    </cfRule>
  </conditionalFormatting>
  <conditionalFormatting sqref="H23:H109 G26:G107 G223:G226 D224:D226">
    <cfRule type="containsText" dxfId="378" priority="394" operator="containsText" text="NÃO">
      <formula>NOT(ISERROR(SEARCH("NÃO",C24)))</formula>
    </cfRule>
  </conditionalFormatting>
  <conditionalFormatting sqref="H46">
    <cfRule type="containsText" dxfId="377" priority="403" operator="containsText" text="NÃO">
      <formula>NOT(ISERROR(SEARCH("NÃO",C11)))</formula>
    </cfRule>
    <cfRule type="containsText" dxfId="376" priority="422" operator="containsText" text="SIM">
      <formula>NOT(ISERROR(SEARCH("SIM",C11)))</formula>
    </cfRule>
  </conditionalFormatting>
  <conditionalFormatting sqref="H51">
    <cfRule type="containsText" dxfId="375" priority="402" operator="containsText" text="NÃO">
      <formula>NOT(ISERROR(SEARCH("NÃO",C11)))</formula>
    </cfRule>
    <cfRule type="containsText" dxfId="374" priority="421" operator="containsText" text="SIM">
      <formula>NOT(ISERROR(SEARCH("SIM",C11)))</formula>
    </cfRule>
  </conditionalFormatting>
  <conditionalFormatting sqref="J8">
    <cfRule type="containsText" dxfId="373" priority="405" operator="containsText" text="NÃO">
      <formula>NOT(ISERROR(SEARCH("NÃO",C11)))</formula>
    </cfRule>
    <cfRule type="containsText" dxfId="372" priority="424" operator="containsText" text="SIM">
      <formula>NOT(ISERROR(SEARCH("SIM",C11)))</formula>
    </cfRule>
  </conditionalFormatting>
  <pageMargins left="0.7" right="0.7" top="1.25" bottom="0.75" header="0.3" footer="0.3"/>
  <pageSetup paperSize="9" orientation="landscape" horizontalDpi="2147483648" verticalDpi="2147483648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JN262"/>
  <sheetViews>
    <sheetView showGridLines="0" tabSelected="1" zoomScale="70" zoomScaleNormal="70" workbookViewId="0">
      <pane ySplit="6" topLeftCell="A161" activePane="bottomLeft" state="frozen"/>
      <selection pane="bottomLeft" activeCell="A242" sqref="A242:XFD242"/>
    </sheetView>
  </sheetViews>
  <sheetFormatPr defaultColWidth="10.875" defaultRowHeight="15.75" thickTop="1" thickBottom="1"/>
  <cols>
    <col min="1" max="2" width="19.375" style="1" customWidth="1"/>
    <col min="3" max="3" width="60.625" style="1" customWidth="1"/>
    <col min="4" max="5" width="17.625" style="1" customWidth="1"/>
    <col min="6" max="6" width="28.5" style="1" bestFit="1" customWidth="1"/>
    <col min="7" max="9" width="19.625" style="1" customWidth="1"/>
    <col min="10" max="10" width="18.5" style="43" hidden="1" customWidth="1"/>
    <col min="11" max="11" width="18.5" style="1" hidden="1" customWidth="1"/>
    <col min="12" max="12" width="11.375" style="1" hidden="1" customWidth="1"/>
    <col min="13" max="13" width="10" style="1" hidden="1" customWidth="1"/>
    <col min="14" max="14" width="11.375" style="1" hidden="1" customWidth="1"/>
    <col min="15" max="15" width="17.25" style="1" hidden="1" customWidth="1"/>
    <col min="16" max="19" width="10.875" style="1" hidden="1" customWidth="1"/>
    <col min="20" max="20" width="40.5" style="1" customWidth="1"/>
    <col min="21" max="21" width="11.875" style="1" bestFit="1" customWidth="1"/>
    <col min="22" max="22" width="20.875" style="1" bestFit="1" customWidth="1"/>
    <col min="23" max="23" width="23.75" style="1" bestFit="1" customWidth="1"/>
    <col min="24" max="24" width="19.625" style="1" bestFit="1" customWidth="1"/>
    <col min="25" max="25" width="40.5" style="1" bestFit="1" customWidth="1"/>
    <col min="26" max="270" width="10.875" style="1" customWidth="1"/>
    <col min="271" max="16384" width="10.875" style="1"/>
  </cols>
  <sheetData>
    <row r="1" spans="1:274" ht="30.75" customHeight="1" thickTop="1" thickBot="1">
      <c r="A1" s="193" t="s">
        <v>673</v>
      </c>
      <c r="B1" s="194"/>
      <c r="C1" s="194"/>
      <c r="D1" s="194"/>
      <c r="E1" s="194"/>
      <c r="F1" s="194"/>
      <c r="G1" s="146"/>
      <c r="H1" s="136" t="s">
        <v>786</v>
      </c>
      <c r="I1" s="135"/>
      <c r="J1" s="135"/>
      <c r="K1" s="192"/>
      <c r="P1" s="26"/>
      <c r="Q1" s="26"/>
      <c r="R1" s="26"/>
      <c r="S1" s="26"/>
      <c r="T1" s="26"/>
      <c r="U1" s="125" t="s">
        <v>676</v>
      </c>
      <c r="V1" s="111" t="s">
        <v>666</v>
      </c>
      <c r="W1" s="112" t="s">
        <v>667</v>
      </c>
      <c r="X1" s="113" t="s">
        <v>668</v>
      </c>
      <c r="Y1" s="137" t="s">
        <v>669</v>
      </c>
      <c r="Z1" s="5"/>
    </row>
    <row r="2" spans="1:274" ht="30.75" customHeight="1" thickTop="1" thickBot="1">
      <c r="A2" s="195"/>
      <c r="B2" s="196"/>
      <c r="C2" s="196"/>
      <c r="D2" s="196"/>
      <c r="E2" s="196"/>
      <c r="F2" s="196"/>
      <c r="G2" s="147"/>
      <c r="H2" s="142" t="s">
        <v>679</v>
      </c>
      <c r="I2" s="135"/>
      <c r="J2" s="135"/>
      <c r="K2" s="192"/>
      <c r="P2" s="141"/>
      <c r="Q2" s="141"/>
      <c r="R2" s="141"/>
      <c r="S2" s="141"/>
      <c r="T2" s="141"/>
      <c r="U2" s="143"/>
      <c r="V2" s="144"/>
      <c r="W2" s="144"/>
      <c r="X2" s="145"/>
      <c r="Y2" s="145"/>
      <c r="Z2" s="5"/>
    </row>
    <row r="3" spans="1:274" ht="24.75" customHeight="1" thickTop="1" thickBot="1">
      <c r="A3" s="197"/>
      <c r="B3" s="198"/>
      <c r="C3" s="198"/>
      <c r="D3" s="198"/>
      <c r="E3" s="198"/>
      <c r="F3" s="198"/>
      <c r="G3" s="199" t="s">
        <v>680</v>
      </c>
      <c r="H3" s="200"/>
      <c r="I3" s="135"/>
      <c r="J3" s="135"/>
      <c r="K3" s="192"/>
      <c r="L3" s="1" t="s">
        <v>659</v>
      </c>
      <c r="M3" s="1" t="s">
        <v>660</v>
      </c>
      <c r="N3" s="1" t="s">
        <v>326</v>
      </c>
      <c r="O3" s="1" t="s">
        <v>661</v>
      </c>
      <c r="P3" s="109" t="s">
        <v>662</v>
      </c>
      <c r="Q3" s="109" t="s">
        <v>663</v>
      </c>
      <c r="R3" s="109" t="s">
        <v>664</v>
      </c>
      <c r="S3" s="109" t="s">
        <v>665</v>
      </c>
      <c r="T3" s="114"/>
      <c r="U3" s="99"/>
      <c r="V3" s="99"/>
      <c r="W3" s="99"/>
      <c r="X3" s="99"/>
      <c r="Y3" s="126"/>
    </row>
    <row r="4" spans="1:274" ht="33.75" customHeight="1" thickTop="1" thickBot="1">
      <c r="A4" s="115"/>
      <c r="B4" s="115"/>
      <c r="C4" s="116"/>
      <c r="D4" s="115"/>
      <c r="E4" s="115"/>
      <c r="F4" s="115"/>
      <c r="G4" s="190" t="s">
        <v>884</v>
      </c>
      <c r="H4" s="190"/>
      <c r="I4" s="115"/>
      <c r="J4" s="191" t="s">
        <v>657</v>
      </c>
      <c r="K4" s="191"/>
      <c r="T4" s="99"/>
      <c r="U4" s="99"/>
      <c r="V4" s="110"/>
      <c r="W4" s="99"/>
      <c r="X4" s="99"/>
    </row>
    <row r="5" spans="1:274" ht="3" customHeight="1" thickTop="1" thickBot="1">
      <c r="A5" s="115"/>
      <c r="B5" s="115"/>
      <c r="C5" s="148"/>
      <c r="D5" s="115"/>
      <c r="E5" s="115"/>
      <c r="F5" s="115"/>
      <c r="G5" s="115"/>
      <c r="H5" s="115"/>
      <c r="I5" s="115"/>
      <c r="J5" s="149"/>
      <c r="K5" s="149"/>
      <c r="L5" s="121"/>
      <c r="M5" s="121"/>
      <c r="N5" s="121"/>
      <c r="O5" s="121"/>
      <c r="P5" s="121"/>
      <c r="Q5" s="121"/>
      <c r="R5" s="121"/>
      <c r="S5" s="121"/>
      <c r="T5" s="150"/>
      <c r="U5" s="99"/>
      <c r="V5" s="110"/>
      <c r="W5" s="99"/>
      <c r="X5" s="99"/>
    </row>
    <row r="6" spans="1:274" ht="48.75" thickTop="1" thickBot="1">
      <c r="A6" s="117" t="s">
        <v>4</v>
      </c>
      <c r="B6" s="118" t="s">
        <v>653</v>
      </c>
      <c r="C6" s="118" t="s">
        <v>6</v>
      </c>
      <c r="D6" s="118" t="s">
        <v>655</v>
      </c>
      <c r="E6" s="118" t="s">
        <v>654</v>
      </c>
      <c r="F6" s="117" t="s">
        <v>677</v>
      </c>
      <c r="G6" s="118" t="s">
        <v>10</v>
      </c>
      <c r="H6" s="117" t="s">
        <v>678</v>
      </c>
      <c r="I6" s="118" t="s">
        <v>656</v>
      </c>
      <c r="J6" s="117" t="s">
        <v>675</v>
      </c>
      <c r="K6" s="118" t="s">
        <v>658</v>
      </c>
      <c r="L6" s="121"/>
      <c r="M6" s="122">
        <f ca="1">TODAY()</f>
        <v>46233</v>
      </c>
      <c r="N6" s="121"/>
      <c r="O6" s="121"/>
      <c r="P6" s="121"/>
      <c r="Q6" s="121"/>
      <c r="R6" s="121"/>
      <c r="S6" s="121"/>
      <c r="T6" s="118" t="s">
        <v>674</v>
      </c>
      <c r="V6" s="110"/>
    </row>
    <row r="7" spans="1:274" ht="39.950000000000003" customHeight="1" thickTop="1" thickBot="1">
      <c r="A7" s="123" t="s">
        <v>681</v>
      </c>
      <c r="B7" s="123">
        <v>1</v>
      </c>
      <c r="C7" s="156" t="s">
        <v>400</v>
      </c>
      <c r="D7" s="123">
        <v>3</v>
      </c>
      <c r="E7" s="151" t="s">
        <v>659</v>
      </c>
      <c r="F7" s="123"/>
      <c r="G7" s="123" t="s">
        <v>67</v>
      </c>
      <c r="H7" s="124">
        <v>46162</v>
      </c>
      <c r="I7" s="154">
        <f t="shared" ref="I7:I44" ca="1" si="0">IF(H7="","",DATE(YEAR(H7)+2,MONTH(H7),DAY(H7))-TODAY())</f>
        <v>660</v>
      </c>
      <c r="J7" s="127" t="s">
        <v>664</v>
      </c>
      <c r="K7" s="123" t="s">
        <v>664</v>
      </c>
      <c r="L7" s="123"/>
      <c r="M7" s="123"/>
      <c r="N7" s="123"/>
      <c r="O7" s="123"/>
      <c r="P7" s="123"/>
      <c r="Q7" s="123"/>
      <c r="R7" s="123"/>
      <c r="S7" s="123"/>
      <c r="T7" s="123" t="s">
        <v>839</v>
      </c>
      <c r="U7" s="5"/>
    </row>
    <row r="8" spans="1:274" ht="39.950000000000003" customHeight="1" thickTop="1" thickBot="1">
      <c r="A8" s="123" t="s">
        <v>682</v>
      </c>
      <c r="B8" s="123">
        <v>1</v>
      </c>
      <c r="C8" s="156" t="s">
        <v>330</v>
      </c>
      <c r="D8" s="123">
        <v>1</v>
      </c>
      <c r="E8" s="151" t="s">
        <v>659</v>
      </c>
      <c r="F8" s="123"/>
      <c r="G8" s="123" t="s">
        <v>67</v>
      </c>
      <c r="H8" s="124">
        <v>45842</v>
      </c>
      <c r="I8" s="154">
        <f t="shared" ca="1" si="0"/>
        <v>339</v>
      </c>
      <c r="J8" s="127" t="s">
        <v>664</v>
      </c>
      <c r="K8" s="123" t="s">
        <v>664</v>
      </c>
      <c r="L8" s="123"/>
      <c r="M8" s="123"/>
      <c r="N8" s="123"/>
      <c r="O8" s="123"/>
      <c r="P8" s="123"/>
      <c r="Q8" s="123"/>
      <c r="R8" s="123"/>
      <c r="S8" s="123"/>
      <c r="T8" s="123"/>
      <c r="U8" s="5"/>
    </row>
    <row r="9" spans="1:274" ht="39.950000000000003" customHeight="1" thickTop="1" thickBot="1">
      <c r="A9" s="123" t="s">
        <v>683</v>
      </c>
      <c r="B9" s="123">
        <v>1</v>
      </c>
      <c r="C9" s="156" t="s">
        <v>395</v>
      </c>
      <c r="D9" s="123">
        <v>2</v>
      </c>
      <c r="E9" s="151" t="s">
        <v>659</v>
      </c>
      <c r="F9" s="123"/>
      <c r="G9" s="123" t="s">
        <v>67</v>
      </c>
      <c r="H9" s="124">
        <v>45999</v>
      </c>
      <c r="I9" s="154">
        <f t="shared" ca="1" si="0"/>
        <v>496</v>
      </c>
      <c r="J9" s="127" t="s">
        <v>664</v>
      </c>
      <c r="K9" s="123" t="s">
        <v>664</v>
      </c>
      <c r="L9" s="123"/>
      <c r="M9" s="123"/>
      <c r="N9" s="123"/>
      <c r="O9" s="123"/>
      <c r="P9" s="123"/>
      <c r="Q9" s="123"/>
      <c r="R9" s="123"/>
      <c r="S9" s="123"/>
      <c r="T9" s="123" t="s">
        <v>839</v>
      </c>
      <c r="U9" s="5"/>
    </row>
    <row r="10" spans="1:274" ht="39.950000000000003" customHeight="1" thickTop="1" thickBot="1">
      <c r="A10" s="128" t="s">
        <v>27</v>
      </c>
      <c r="B10" s="128" t="s">
        <v>28</v>
      </c>
      <c r="C10" s="155" t="s">
        <v>687</v>
      </c>
      <c r="D10" s="129">
        <v>1</v>
      </c>
      <c r="E10" s="151" t="s">
        <v>659</v>
      </c>
      <c r="F10" s="123"/>
      <c r="G10" s="123" t="s">
        <v>16</v>
      </c>
      <c r="H10" s="130">
        <v>45839</v>
      </c>
      <c r="I10" s="154">
        <f t="shared" ca="1" si="0"/>
        <v>336</v>
      </c>
      <c r="J10" s="127"/>
      <c r="K10" s="131"/>
      <c r="L10" s="123"/>
      <c r="M10" s="123"/>
      <c r="N10" s="123"/>
      <c r="O10" s="123"/>
      <c r="P10" s="123"/>
      <c r="Q10" s="123"/>
      <c r="R10" s="123"/>
      <c r="S10" s="123"/>
      <c r="T10" s="123"/>
      <c r="U10" s="5"/>
    </row>
    <row r="11" spans="1:274" ht="39.950000000000003" customHeight="1" thickTop="1" thickBot="1">
      <c r="A11" s="128" t="s">
        <v>27</v>
      </c>
      <c r="B11" s="128" t="s">
        <v>688</v>
      </c>
      <c r="C11" s="155" t="s">
        <v>689</v>
      </c>
      <c r="D11" s="129" t="s">
        <v>779</v>
      </c>
      <c r="E11" s="151" t="s">
        <v>659</v>
      </c>
      <c r="F11" s="123"/>
      <c r="G11" s="123" t="s">
        <v>16</v>
      </c>
      <c r="H11" s="130">
        <v>46160</v>
      </c>
      <c r="I11" s="154">
        <f t="shared" ca="1" si="0"/>
        <v>658</v>
      </c>
      <c r="J11" s="127"/>
      <c r="K11" s="131"/>
      <c r="L11" s="123"/>
      <c r="M11" s="123"/>
      <c r="N11" s="123"/>
      <c r="O11" s="123"/>
      <c r="P11" s="123"/>
      <c r="Q11" s="123"/>
      <c r="R11" s="123"/>
      <c r="S11" s="123"/>
      <c r="T11" s="123"/>
      <c r="U11" s="5"/>
    </row>
    <row r="12" spans="1:274" ht="39.950000000000003" customHeight="1" thickTop="1" thickBot="1">
      <c r="A12" s="128" t="s">
        <v>27</v>
      </c>
      <c r="B12" s="128" t="s">
        <v>31</v>
      </c>
      <c r="C12" s="155" t="s">
        <v>32</v>
      </c>
      <c r="D12" s="129" t="s">
        <v>789</v>
      </c>
      <c r="E12" s="151" t="s">
        <v>659</v>
      </c>
      <c r="F12" s="123"/>
      <c r="G12" s="123" t="s">
        <v>762</v>
      </c>
      <c r="H12" s="130">
        <v>46127</v>
      </c>
      <c r="I12" s="154">
        <f t="shared" ca="1" si="0"/>
        <v>625</v>
      </c>
      <c r="J12" s="127"/>
      <c r="K12" s="127"/>
      <c r="L12" s="123"/>
      <c r="M12" s="123"/>
      <c r="N12" s="123"/>
      <c r="O12" s="123"/>
      <c r="P12" s="123"/>
      <c r="Q12" s="123"/>
      <c r="R12" s="123"/>
      <c r="S12" s="123"/>
      <c r="T12" s="123"/>
      <c r="U12" s="5"/>
      <c r="JL12" s="21"/>
      <c r="JN12" s="21"/>
    </row>
    <row r="13" spans="1:274" ht="39.950000000000003" customHeight="1" thickTop="1" thickBot="1">
      <c r="A13" s="128" t="s">
        <v>27</v>
      </c>
      <c r="B13" s="128" t="s">
        <v>690</v>
      </c>
      <c r="C13" s="159" t="s">
        <v>691</v>
      </c>
      <c r="D13" s="129" t="s">
        <v>789</v>
      </c>
      <c r="E13" s="151" t="s">
        <v>659</v>
      </c>
      <c r="F13" s="123"/>
      <c r="G13" s="123" t="s">
        <v>762</v>
      </c>
      <c r="H13" s="130">
        <v>46127</v>
      </c>
      <c r="I13" s="154">
        <f t="shared" ca="1" si="0"/>
        <v>625</v>
      </c>
      <c r="J13" s="127"/>
      <c r="K13" s="127"/>
      <c r="L13" s="123"/>
      <c r="M13" s="123"/>
      <c r="N13" s="123"/>
      <c r="O13" s="123"/>
      <c r="P13" s="123"/>
      <c r="Q13" s="123"/>
      <c r="R13" s="123"/>
      <c r="S13" s="123"/>
      <c r="T13" s="123"/>
      <c r="U13" s="5"/>
      <c r="JL13" s="21"/>
      <c r="JN13" s="21"/>
    </row>
    <row r="14" spans="1:274" ht="39.950000000000003" customHeight="1" thickTop="1" thickBot="1">
      <c r="A14" s="128" t="s">
        <v>27</v>
      </c>
      <c r="B14" s="128" t="s">
        <v>35</v>
      </c>
      <c r="C14" s="155" t="s">
        <v>36</v>
      </c>
      <c r="D14" s="129">
        <v>2</v>
      </c>
      <c r="E14" s="151" t="s">
        <v>659</v>
      </c>
      <c r="F14" s="123"/>
      <c r="G14" s="123" t="s">
        <v>92</v>
      </c>
      <c r="H14" s="130">
        <v>46119</v>
      </c>
      <c r="I14" s="154">
        <f t="shared" ca="1" si="0"/>
        <v>617</v>
      </c>
      <c r="J14" s="127"/>
      <c r="K14" s="131"/>
      <c r="L14" s="123"/>
      <c r="M14" s="123"/>
      <c r="N14" s="123"/>
      <c r="O14" s="123"/>
      <c r="P14" s="123"/>
      <c r="Q14" s="123"/>
      <c r="R14" s="123"/>
      <c r="S14" s="123"/>
      <c r="T14" s="123"/>
      <c r="U14" s="5"/>
    </row>
    <row r="15" spans="1:274" ht="39.950000000000003" customHeight="1" thickTop="1" thickBot="1">
      <c r="A15" s="128" t="s">
        <v>27</v>
      </c>
      <c r="B15" s="128" t="s">
        <v>38</v>
      </c>
      <c r="C15" s="155" t="s">
        <v>39</v>
      </c>
      <c r="D15" s="129">
        <v>1</v>
      </c>
      <c r="E15" s="151" t="s">
        <v>659</v>
      </c>
      <c r="F15" s="123"/>
      <c r="G15" s="123" t="s">
        <v>33</v>
      </c>
      <c r="H15" s="130">
        <v>45839</v>
      </c>
      <c r="I15" s="154">
        <f t="shared" ca="1" si="0"/>
        <v>336</v>
      </c>
      <c r="J15" s="127"/>
      <c r="K15" s="131"/>
      <c r="L15" s="123"/>
      <c r="M15" s="123"/>
      <c r="N15" s="123"/>
      <c r="O15" s="123"/>
      <c r="P15" s="123"/>
      <c r="Q15" s="123"/>
      <c r="R15" s="123"/>
      <c r="S15" s="123"/>
      <c r="T15" s="123"/>
      <c r="U15" s="5"/>
    </row>
    <row r="16" spans="1:274" ht="39.950000000000003" customHeight="1" thickTop="1" thickBot="1">
      <c r="A16" s="128" t="s">
        <v>27</v>
      </c>
      <c r="B16" s="128" t="s">
        <v>40</v>
      </c>
      <c r="C16" s="155" t="s">
        <v>41</v>
      </c>
      <c r="D16" s="129">
        <v>1</v>
      </c>
      <c r="E16" s="151" t="s">
        <v>659</v>
      </c>
      <c r="F16" s="123"/>
      <c r="G16" s="123" t="s">
        <v>33</v>
      </c>
      <c r="H16" s="130">
        <v>45839</v>
      </c>
      <c r="I16" s="154">
        <f t="shared" ca="1" si="0"/>
        <v>336</v>
      </c>
      <c r="J16" s="127"/>
      <c r="K16" s="131"/>
      <c r="L16" s="123"/>
      <c r="M16" s="123"/>
      <c r="N16" s="123"/>
      <c r="O16" s="123"/>
      <c r="P16" s="123"/>
      <c r="Q16" s="123"/>
      <c r="R16" s="123"/>
      <c r="S16" s="123"/>
      <c r="T16" s="123"/>
      <c r="U16" s="5"/>
    </row>
    <row r="17" spans="1:21" ht="39.950000000000003" customHeight="1" thickTop="1" thickBot="1">
      <c r="A17" s="128" t="s">
        <v>27</v>
      </c>
      <c r="B17" s="128" t="s">
        <v>44</v>
      </c>
      <c r="C17" s="155" t="s">
        <v>45</v>
      </c>
      <c r="D17" s="129">
        <v>1</v>
      </c>
      <c r="E17" s="151" t="s">
        <v>659</v>
      </c>
      <c r="F17" s="123"/>
      <c r="G17" s="123" t="s">
        <v>33</v>
      </c>
      <c r="H17" s="130">
        <v>45839</v>
      </c>
      <c r="I17" s="154">
        <f t="shared" ca="1" si="0"/>
        <v>336</v>
      </c>
      <c r="J17" s="127"/>
      <c r="K17" s="131"/>
      <c r="L17" s="123"/>
      <c r="M17" s="123"/>
      <c r="N17" s="123"/>
      <c r="O17" s="123"/>
      <c r="P17" s="123"/>
      <c r="Q17" s="123"/>
      <c r="R17" s="123"/>
      <c r="S17" s="123"/>
      <c r="T17" s="123"/>
      <c r="U17" s="5"/>
    </row>
    <row r="18" spans="1:21" ht="39.950000000000003" customHeight="1" thickTop="1" thickBot="1">
      <c r="A18" s="128" t="s">
        <v>27</v>
      </c>
      <c r="B18" s="128" t="s">
        <v>46</v>
      </c>
      <c r="C18" s="155" t="s">
        <v>47</v>
      </c>
      <c r="D18" s="129">
        <v>2</v>
      </c>
      <c r="E18" s="151" t="s">
        <v>659</v>
      </c>
      <c r="F18" s="123"/>
      <c r="G18" s="123" t="s">
        <v>33</v>
      </c>
      <c r="H18" s="130">
        <v>46122</v>
      </c>
      <c r="I18" s="154">
        <f t="shared" ca="1" si="0"/>
        <v>620</v>
      </c>
      <c r="J18" s="127"/>
      <c r="K18" s="127"/>
      <c r="L18" s="123"/>
      <c r="M18" s="123"/>
      <c r="N18" s="123"/>
      <c r="O18" s="123"/>
      <c r="P18" s="123"/>
      <c r="Q18" s="123"/>
      <c r="R18" s="123"/>
      <c r="S18" s="123"/>
      <c r="T18" s="123"/>
      <c r="U18" s="5"/>
    </row>
    <row r="19" spans="1:21" ht="39.950000000000003" customHeight="1" thickTop="1" thickBot="1">
      <c r="A19" s="128" t="s">
        <v>27</v>
      </c>
      <c r="B19" s="128" t="s">
        <v>49</v>
      </c>
      <c r="C19" s="155" t="s">
        <v>835</v>
      </c>
      <c r="D19" s="129" t="s">
        <v>789</v>
      </c>
      <c r="E19" s="151" t="s">
        <v>659</v>
      </c>
      <c r="F19" s="123"/>
      <c r="G19" s="123" t="s">
        <v>16</v>
      </c>
      <c r="H19" s="130">
        <v>46183</v>
      </c>
      <c r="I19" s="154">
        <f t="shared" ca="1" si="0"/>
        <v>681</v>
      </c>
      <c r="J19" s="127"/>
      <c r="K19" s="131"/>
      <c r="L19" s="123"/>
      <c r="M19" s="123"/>
      <c r="N19" s="123"/>
      <c r="O19" s="123"/>
      <c r="P19" s="123"/>
      <c r="Q19" s="123"/>
      <c r="R19" s="123"/>
      <c r="S19" s="123"/>
      <c r="T19" s="123"/>
      <c r="U19" s="5"/>
    </row>
    <row r="20" spans="1:21" ht="39.950000000000003" customHeight="1" thickTop="1" thickBot="1">
      <c r="A20" s="128" t="s">
        <v>27</v>
      </c>
      <c r="B20" s="128" t="s">
        <v>834</v>
      </c>
      <c r="C20" s="155" t="s">
        <v>833</v>
      </c>
      <c r="D20" s="129" t="s">
        <v>789</v>
      </c>
      <c r="E20" s="151" t="s">
        <v>659</v>
      </c>
      <c r="F20" s="123"/>
      <c r="G20" s="123" t="s">
        <v>16</v>
      </c>
      <c r="H20" s="130">
        <v>46183</v>
      </c>
      <c r="I20" s="154">
        <f t="shared" ca="1" si="0"/>
        <v>681</v>
      </c>
      <c r="J20" s="127"/>
      <c r="K20" s="131"/>
      <c r="L20" s="123"/>
      <c r="M20" s="123"/>
      <c r="N20" s="123"/>
      <c r="O20" s="123"/>
      <c r="P20" s="123"/>
      <c r="Q20" s="123"/>
      <c r="R20" s="123"/>
      <c r="S20" s="123"/>
      <c r="T20" s="123"/>
      <c r="U20" s="5"/>
    </row>
    <row r="21" spans="1:21" ht="39.950000000000003" customHeight="1" thickTop="1" thickBot="1">
      <c r="A21" s="128" t="s">
        <v>27</v>
      </c>
      <c r="B21" s="128" t="s">
        <v>51</v>
      </c>
      <c r="C21" s="155" t="s">
        <v>52</v>
      </c>
      <c r="D21" s="129" t="s">
        <v>793</v>
      </c>
      <c r="E21" s="151" t="s">
        <v>659</v>
      </c>
      <c r="F21" s="123" t="s">
        <v>811</v>
      </c>
      <c r="G21" s="123" t="s">
        <v>33</v>
      </c>
      <c r="H21" s="130">
        <v>46223</v>
      </c>
      <c r="I21" s="154">
        <f t="shared" ca="1" si="0"/>
        <v>721</v>
      </c>
      <c r="J21" s="127"/>
      <c r="K21" s="127"/>
      <c r="L21" s="123"/>
      <c r="M21" s="123"/>
      <c r="N21" s="123"/>
      <c r="O21" s="123"/>
      <c r="P21" s="123"/>
      <c r="Q21" s="123"/>
      <c r="R21" s="123"/>
      <c r="S21" s="123"/>
      <c r="T21" s="123"/>
      <c r="U21" s="5"/>
    </row>
    <row r="22" spans="1:21" ht="39.950000000000003" customHeight="1" thickTop="1" thickBot="1">
      <c r="A22" s="128" t="s">
        <v>27</v>
      </c>
      <c r="B22" s="128" t="s">
        <v>54</v>
      </c>
      <c r="C22" s="155" t="s">
        <v>692</v>
      </c>
      <c r="D22" s="129">
        <v>4</v>
      </c>
      <c r="E22" s="151" t="s">
        <v>659</v>
      </c>
      <c r="F22" s="123"/>
      <c r="G22" s="123" t="s">
        <v>33</v>
      </c>
      <c r="H22" s="130">
        <v>46128</v>
      </c>
      <c r="I22" s="154">
        <f t="shared" ca="1" si="0"/>
        <v>626</v>
      </c>
      <c r="J22" s="127"/>
      <c r="K22" s="127"/>
      <c r="L22" s="123"/>
      <c r="M22" s="123"/>
      <c r="N22" s="123"/>
      <c r="O22" s="123"/>
      <c r="P22" s="123"/>
      <c r="Q22" s="123"/>
      <c r="R22" s="123"/>
      <c r="S22" s="123"/>
      <c r="T22" s="123"/>
      <c r="U22" s="5"/>
    </row>
    <row r="23" spans="1:21" ht="39.950000000000003" customHeight="1" thickTop="1" thickBot="1">
      <c r="A23" s="128" t="s">
        <v>27</v>
      </c>
      <c r="B23" s="128" t="s">
        <v>56</v>
      </c>
      <c r="C23" s="155" t="s">
        <v>57</v>
      </c>
      <c r="D23" s="129"/>
      <c r="E23" s="151" t="s">
        <v>326</v>
      </c>
      <c r="F23" s="123"/>
      <c r="G23" s="123"/>
      <c r="H23" s="130"/>
      <c r="I23" s="154" t="str">
        <f t="shared" ca="1" si="0"/>
        <v/>
      </c>
      <c r="J23" s="127"/>
      <c r="K23" s="127"/>
      <c r="L23" s="123"/>
      <c r="M23" s="123"/>
      <c r="N23" s="123"/>
      <c r="O23" s="123"/>
      <c r="P23" s="123"/>
      <c r="Q23" s="123"/>
      <c r="R23" s="123"/>
      <c r="S23" s="123"/>
      <c r="T23" s="123"/>
      <c r="U23" s="5"/>
    </row>
    <row r="24" spans="1:21" ht="39.950000000000003" customHeight="1" thickTop="1" thickBot="1">
      <c r="A24" s="128" t="s">
        <v>27</v>
      </c>
      <c r="B24" s="128" t="s">
        <v>58</v>
      </c>
      <c r="C24" s="155" t="s">
        <v>59</v>
      </c>
      <c r="D24" s="129" t="s">
        <v>854</v>
      </c>
      <c r="E24" s="151" t="s">
        <v>659</v>
      </c>
      <c r="F24" s="123"/>
      <c r="G24" s="123" t="s">
        <v>33</v>
      </c>
      <c r="H24" s="130">
        <v>45839</v>
      </c>
      <c r="I24" s="154">
        <f t="shared" ca="1" si="0"/>
        <v>336</v>
      </c>
      <c r="J24" s="127"/>
      <c r="K24" s="127"/>
      <c r="L24" s="123"/>
      <c r="M24" s="123"/>
      <c r="N24" s="123"/>
      <c r="O24" s="123"/>
      <c r="P24" s="123"/>
      <c r="Q24" s="123"/>
      <c r="R24" s="123"/>
      <c r="S24" s="123"/>
      <c r="T24" s="123"/>
      <c r="U24" s="5"/>
    </row>
    <row r="25" spans="1:21" ht="43.5" customHeight="1" thickTop="1" thickBot="1">
      <c r="A25" s="128" t="s">
        <v>27</v>
      </c>
      <c r="B25" s="139" t="s">
        <v>64</v>
      </c>
      <c r="C25" s="155" t="s">
        <v>792</v>
      </c>
      <c r="D25" s="140" t="s">
        <v>778</v>
      </c>
      <c r="E25" s="151" t="s">
        <v>659</v>
      </c>
      <c r="F25" s="123"/>
      <c r="G25" s="123" t="s">
        <v>67</v>
      </c>
      <c r="H25" s="138">
        <v>45841</v>
      </c>
      <c r="I25" s="154">
        <f t="shared" ca="1" si="0"/>
        <v>338</v>
      </c>
      <c r="J25" s="127"/>
      <c r="K25" s="127"/>
      <c r="L25" s="123"/>
      <c r="M25" s="123"/>
      <c r="N25" s="123"/>
      <c r="O25" s="123"/>
      <c r="P25" s="123"/>
      <c r="Q25" s="123"/>
      <c r="R25" s="123"/>
      <c r="S25" s="123"/>
      <c r="T25" s="123"/>
      <c r="U25" s="5"/>
    </row>
    <row r="26" spans="1:21" ht="39.950000000000003" customHeight="1" thickTop="1" thickBot="1">
      <c r="A26" s="128" t="s">
        <v>27</v>
      </c>
      <c r="B26" s="139" t="s">
        <v>68</v>
      </c>
      <c r="C26" s="155" t="s">
        <v>693</v>
      </c>
      <c r="D26" s="129">
        <v>1</v>
      </c>
      <c r="E26" s="151" t="s">
        <v>659</v>
      </c>
      <c r="F26" s="123"/>
      <c r="G26" s="123" t="s">
        <v>67</v>
      </c>
      <c r="H26" s="130">
        <v>45841</v>
      </c>
      <c r="I26" s="154">
        <f t="shared" ca="1" si="0"/>
        <v>338</v>
      </c>
      <c r="J26" s="127"/>
      <c r="K26" s="127"/>
      <c r="L26" s="123"/>
      <c r="M26" s="123"/>
      <c r="N26" s="123"/>
      <c r="O26" s="123"/>
      <c r="P26" s="123"/>
      <c r="Q26" s="123"/>
      <c r="R26" s="123"/>
      <c r="S26" s="123"/>
      <c r="T26" s="123"/>
      <c r="U26" s="5"/>
    </row>
    <row r="27" spans="1:21" ht="39.950000000000003" customHeight="1" thickTop="1" thickBot="1">
      <c r="A27" s="128" t="s">
        <v>27</v>
      </c>
      <c r="B27" s="139" t="s">
        <v>71</v>
      </c>
      <c r="C27" s="155" t="s">
        <v>72</v>
      </c>
      <c r="D27" s="129" t="s">
        <v>789</v>
      </c>
      <c r="E27" s="151" t="s">
        <v>659</v>
      </c>
      <c r="F27" s="123"/>
      <c r="G27" s="123" t="s">
        <v>67</v>
      </c>
      <c r="H27" s="130">
        <v>46148</v>
      </c>
      <c r="I27" s="154">
        <f t="shared" ca="1" si="0"/>
        <v>646</v>
      </c>
      <c r="J27" s="127"/>
      <c r="K27" s="127"/>
      <c r="L27" s="123"/>
      <c r="M27" s="123"/>
      <c r="N27" s="123"/>
      <c r="O27" s="123"/>
      <c r="P27" s="123"/>
      <c r="Q27" s="123"/>
      <c r="R27" s="123"/>
      <c r="S27" s="123"/>
      <c r="T27" s="123"/>
      <c r="U27" s="5"/>
    </row>
    <row r="28" spans="1:21" s="181" customFormat="1" ht="39.950000000000003" customHeight="1" thickTop="1" thickBot="1">
      <c r="A28" s="161" t="s">
        <v>27</v>
      </c>
      <c r="B28" s="161" t="s">
        <v>74</v>
      </c>
      <c r="C28" s="162" t="s">
        <v>75</v>
      </c>
      <c r="D28" s="177" t="s">
        <v>779</v>
      </c>
      <c r="E28" s="178" t="s">
        <v>660</v>
      </c>
      <c r="F28" s="175"/>
      <c r="G28" s="175"/>
      <c r="H28" s="138"/>
      <c r="I28" s="154" t="str">
        <f t="shared" ca="1" si="0"/>
        <v/>
      </c>
      <c r="J28" s="179"/>
      <c r="K28" s="179"/>
      <c r="L28" s="175"/>
      <c r="M28" s="175"/>
      <c r="N28" s="175"/>
      <c r="O28" s="175"/>
      <c r="P28" s="175"/>
      <c r="Q28" s="175"/>
      <c r="R28" s="175"/>
      <c r="S28" s="175"/>
      <c r="T28" s="175" t="s">
        <v>872</v>
      </c>
      <c r="U28" s="180"/>
    </row>
    <row r="29" spans="1:21" s="169" customFormat="1" ht="39.950000000000003" customHeight="1" thickTop="1" thickBot="1">
      <c r="A29" s="161" t="s">
        <v>27</v>
      </c>
      <c r="B29" s="161" t="s">
        <v>60</v>
      </c>
      <c r="C29" s="162" t="s">
        <v>852</v>
      </c>
      <c r="D29" s="140"/>
      <c r="E29" s="164" t="s">
        <v>660</v>
      </c>
      <c r="F29" s="160"/>
      <c r="G29" s="160"/>
      <c r="H29" s="174"/>
      <c r="I29" s="154" t="str">
        <f t="shared" ref="I29" ca="1" si="1">IF(H29="","",DATE(YEAR(H29)+2,MONTH(H29),DAY(H29))-TODAY())</f>
        <v/>
      </c>
      <c r="J29" s="127"/>
      <c r="K29" s="127"/>
      <c r="L29" s="123"/>
      <c r="M29" s="123"/>
      <c r="N29" s="123"/>
      <c r="O29" s="123"/>
      <c r="P29" s="123"/>
      <c r="Q29" s="123"/>
      <c r="R29" s="123"/>
      <c r="S29" s="123"/>
      <c r="T29" s="160" t="s">
        <v>872</v>
      </c>
      <c r="U29" s="168"/>
    </row>
    <row r="30" spans="1:21" ht="39.950000000000003" customHeight="1" thickTop="1" thickBot="1">
      <c r="A30" s="128" t="s">
        <v>27</v>
      </c>
      <c r="B30" s="139" t="s">
        <v>78</v>
      </c>
      <c r="C30" s="155" t="s">
        <v>61</v>
      </c>
      <c r="D30" s="129">
        <v>1</v>
      </c>
      <c r="E30" s="151" t="s">
        <v>659</v>
      </c>
      <c r="F30" s="123"/>
      <c r="G30" s="123" t="s">
        <v>67</v>
      </c>
      <c r="H30" s="130">
        <v>45841</v>
      </c>
      <c r="I30" s="154">
        <f t="shared" ca="1" si="0"/>
        <v>338</v>
      </c>
      <c r="J30" s="127"/>
      <c r="K30" s="127"/>
      <c r="L30" s="123"/>
      <c r="M30" s="123"/>
      <c r="N30" s="123"/>
      <c r="O30" s="123"/>
      <c r="P30" s="123"/>
      <c r="Q30" s="123"/>
      <c r="R30" s="123"/>
      <c r="S30" s="123"/>
      <c r="T30" s="123"/>
      <c r="U30" s="5"/>
    </row>
    <row r="31" spans="1:21" ht="39.950000000000003" customHeight="1" thickTop="1" thickBot="1">
      <c r="A31" s="128" t="s">
        <v>27</v>
      </c>
      <c r="B31" s="128" t="s">
        <v>79</v>
      </c>
      <c r="C31" s="155" t="s">
        <v>694</v>
      </c>
      <c r="D31" s="129">
        <v>1</v>
      </c>
      <c r="E31" s="151" t="s">
        <v>659</v>
      </c>
      <c r="F31" s="123"/>
      <c r="G31" s="123" t="s">
        <v>67</v>
      </c>
      <c r="H31" s="130">
        <v>45841</v>
      </c>
      <c r="I31" s="154">
        <f t="shared" ca="1" si="0"/>
        <v>338</v>
      </c>
      <c r="J31" s="127"/>
      <c r="K31" s="127"/>
      <c r="L31" s="123"/>
      <c r="M31" s="123"/>
      <c r="N31" s="123"/>
      <c r="O31" s="123"/>
      <c r="P31" s="123"/>
      <c r="Q31" s="123"/>
      <c r="R31" s="123"/>
      <c r="S31" s="123"/>
      <c r="T31" s="123"/>
      <c r="U31" s="5"/>
    </row>
    <row r="32" spans="1:21" ht="39.950000000000003" customHeight="1" thickTop="1" thickBot="1">
      <c r="A32" s="128" t="s">
        <v>27</v>
      </c>
      <c r="B32" s="128" t="s">
        <v>85</v>
      </c>
      <c r="C32" s="155" t="s">
        <v>825</v>
      </c>
      <c r="D32" s="129">
        <v>3</v>
      </c>
      <c r="E32" s="151" t="s">
        <v>659</v>
      </c>
      <c r="F32" s="123"/>
      <c r="G32" s="123" t="s">
        <v>88</v>
      </c>
      <c r="H32" s="130">
        <v>46126</v>
      </c>
      <c r="I32" s="154">
        <f t="shared" ca="1" si="0"/>
        <v>624</v>
      </c>
      <c r="J32" s="127"/>
      <c r="K32" s="127"/>
      <c r="L32" s="123"/>
      <c r="M32" s="123"/>
      <c r="N32" s="123"/>
      <c r="O32" s="123"/>
      <c r="P32" s="123"/>
      <c r="Q32" s="123"/>
      <c r="R32" s="123"/>
      <c r="S32" s="123"/>
      <c r="T32" s="123"/>
      <c r="U32" s="5"/>
    </row>
    <row r="33" spans="1:21" ht="39.950000000000003" customHeight="1" thickTop="1" thickBot="1">
      <c r="A33" s="128" t="s">
        <v>27</v>
      </c>
      <c r="B33" s="128" t="s">
        <v>89</v>
      </c>
      <c r="C33" s="155" t="s">
        <v>90</v>
      </c>
      <c r="D33" s="129" t="s">
        <v>789</v>
      </c>
      <c r="E33" s="151" t="s">
        <v>659</v>
      </c>
      <c r="F33" s="123"/>
      <c r="G33" s="123" t="s">
        <v>92</v>
      </c>
      <c r="H33" s="130">
        <v>46125</v>
      </c>
      <c r="I33" s="154">
        <f t="shared" ca="1" si="0"/>
        <v>623</v>
      </c>
      <c r="J33" s="127"/>
      <c r="K33" s="127"/>
      <c r="L33" s="123"/>
      <c r="M33" s="123"/>
      <c r="N33" s="123"/>
      <c r="O33" s="123"/>
      <c r="P33" s="123"/>
      <c r="Q33" s="123"/>
      <c r="R33" s="123"/>
      <c r="S33" s="123"/>
      <c r="T33" s="123"/>
      <c r="U33" s="5"/>
    </row>
    <row r="34" spans="1:21" ht="39.950000000000003" customHeight="1" thickTop="1" thickBot="1">
      <c r="A34" s="128" t="s">
        <v>27</v>
      </c>
      <c r="B34" s="128" t="s">
        <v>93</v>
      </c>
      <c r="C34" s="155" t="s">
        <v>94</v>
      </c>
      <c r="D34" s="129" t="s">
        <v>789</v>
      </c>
      <c r="E34" s="151" t="s">
        <v>659</v>
      </c>
      <c r="F34" s="123"/>
      <c r="G34" s="123" t="s">
        <v>796</v>
      </c>
      <c r="H34" s="130">
        <v>45947</v>
      </c>
      <c r="I34" s="154">
        <f t="shared" ca="1" si="0"/>
        <v>444</v>
      </c>
      <c r="J34" s="127"/>
      <c r="K34" s="127"/>
      <c r="L34" s="123"/>
      <c r="M34" s="123"/>
      <c r="N34" s="123"/>
      <c r="O34" s="123"/>
      <c r="P34" s="123"/>
      <c r="Q34" s="123"/>
      <c r="R34" s="123"/>
      <c r="S34" s="123"/>
      <c r="T34" s="123"/>
      <c r="U34" s="5"/>
    </row>
    <row r="35" spans="1:21" ht="39.950000000000003" customHeight="1" thickTop="1" thickBot="1">
      <c r="A35" s="128" t="s">
        <v>27</v>
      </c>
      <c r="B35" s="128" t="s">
        <v>98</v>
      </c>
      <c r="C35" s="155" t="s">
        <v>99</v>
      </c>
      <c r="D35" s="129" t="s">
        <v>789</v>
      </c>
      <c r="E35" s="151" t="s">
        <v>659</v>
      </c>
      <c r="F35" s="123"/>
      <c r="G35" s="123" t="s">
        <v>88</v>
      </c>
      <c r="H35" s="130">
        <v>46182</v>
      </c>
      <c r="I35" s="154">
        <f t="shared" ca="1" si="0"/>
        <v>680</v>
      </c>
      <c r="J35" s="127"/>
      <c r="K35" s="127"/>
      <c r="L35" s="123"/>
      <c r="M35" s="123"/>
      <c r="N35" s="123"/>
      <c r="O35" s="123"/>
      <c r="P35" s="123"/>
      <c r="Q35" s="123"/>
      <c r="R35" s="123"/>
      <c r="S35" s="123"/>
      <c r="T35" s="123"/>
      <c r="U35" s="5"/>
    </row>
    <row r="36" spans="1:21" ht="39.950000000000003" customHeight="1" thickTop="1" thickBot="1">
      <c r="A36" s="128" t="s">
        <v>27</v>
      </c>
      <c r="B36" s="128" t="s">
        <v>100</v>
      </c>
      <c r="C36" s="155" t="s">
        <v>826</v>
      </c>
      <c r="D36" s="129">
        <v>1</v>
      </c>
      <c r="E36" s="151" t="s">
        <v>659</v>
      </c>
      <c r="F36" s="123"/>
      <c r="G36" s="123" t="s">
        <v>763</v>
      </c>
      <c r="H36" s="130">
        <v>45780</v>
      </c>
      <c r="I36" s="154">
        <f t="shared" ca="1" si="0"/>
        <v>277</v>
      </c>
      <c r="J36" s="127"/>
      <c r="K36" s="127"/>
      <c r="L36" s="123"/>
      <c r="M36" s="123"/>
      <c r="N36" s="123"/>
      <c r="O36" s="123"/>
      <c r="P36" s="123"/>
      <c r="Q36" s="123"/>
      <c r="R36" s="123"/>
      <c r="S36" s="123"/>
      <c r="T36" s="123"/>
      <c r="U36" s="5"/>
    </row>
    <row r="37" spans="1:21" ht="39.950000000000003" customHeight="1" thickTop="1" thickBot="1">
      <c r="A37" s="128" t="s">
        <v>27</v>
      </c>
      <c r="B37" s="128" t="s">
        <v>103</v>
      </c>
      <c r="C37" s="155" t="s">
        <v>104</v>
      </c>
      <c r="D37" s="129">
        <v>10</v>
      </c>
      <c r="E37" s="151" t="s">
        <v>659</v>
      </c>
      <c r="F37" s="123"/>
      <c r="G37" s="123" t="s">
        <v>92</v>
      </c>
      <c r="H37" s="130">
        <v>45780</v>
      </c>
      <c r="I37" s="154">
        <f t="shared" ca="1" si="0"/>
        <v>277</v>
      </c>
      <c r="J37" s="127"/>
      <c r="K37" s="127"/>
      <c r="L37" s="123"/>
      <c r="M37" s="123"/>
      <c r="N37" s="123"/>
      <c r="O37" s="123"/>
      <c r="P37" s="123"/>
      <c r="Q37" s="123"/>
      <c r="R37" s="123"/>
      <c r="S37" s="123"/>
      <c r="T37" s="123"/>
      <c r="U37" s="5"/>
    </row>
    <row r="38" spans="1:21" ht="39.950000000000003" customHeight="1" thickTop="1" thickBot="1">
      <c r="A38" s="128" t="s">
        <v>27</v>
      </c>
      <c r="B38" s="128" t="s">
        <v>105</v>
      </c>
      <c r="C38" s="155" t="s">
        <v>106</v>
      </c>
      <c r="D38" s="129">
        <v>1</v>
      </c>
      <c r="E38" s="151" t="s">
        <v>659</v>
      </c>
      <c r="F38" s="123"/>
      <c r="G38" s="123" t="s">
        <v>92</v>
      </c>
      <c r="H38" s="130">
        <v>45841</v>
      </c>
      <c r="I38" s="154">
        <f t="shared" ca="1" si="0"/>
        <v>338</v>
      </c>
      <c r="J38" s="127"/>
      <c r="K38" s="127"/>
      <c r="L38" s="123"/>
      <c r="M38" s="123"/>
      <c r="N38" s="123"/>
      <c r="O38" s="123"/>
      <c r="P38" s="123"/>
      <c r="Q38" s="123"/>
      <c r="R38" s="123"/>
      <c r="S38" s="123"/>
      <c r="T38" s="123"/>
      <c r="U38" s="5"/>
    </row>
    <row r="39" spans="1:21" ht="39.950000000000003" customHeight="1" thickTop="1" thickBot="1">
      <c r="A39" s="128" t="s">
        <v>27</v>
      </c>
      <c r="B39" s="128" t="s">
        <v>108</v>
      </c>
      <c r="C39" s="155" t="s">
        <v>109</v>
      </c>
      <c r="D39" s="129">
        <v>1</v>
      </c>
      <c r="E39" s="151" t="s">
        <v>659</v>
      </c>
      <c r="F39" s="123"/>
      <c r="G39" s="123" t="s">
        <v>92</v>
      </c>
      <c r="H39" s="130">
        <v>45841</v>
      </c>
      <c r="I39" s="154">
        <f t="shared" ca="1" si="0"/>
        <v>338</v>
      </c>
      <c r="J39" s="127"/>
      <c r="K39" s="127"/>
      <c r="L39" s="123"/>
      <c r="M39" s="123"/>
      <c r="N39" s="123"/>
      <c r="O39" s="123"/>
      <c r="P39" s="123"/>
      <c r="Q39" s="123"/>
      <c r="R39" s="123"/>
      <c r="S39" s="123"/>
      <c r="T39" s="123"/>
      <c r="U39" s="5"/>
    </row>
    <row r="40" spans="1:21" s="169" customFormat="1" ht="39.950000000000003" customHeight="1" thickTop="1" thickBot="1">
      <c r="A40" s="139" t="s">
        <v>27</v>
      </c>
      <c r="B40" s="139" t="s">
        <v>111</v>
      </c>
      <c r="C40" s="159" t="s">
        <v>112</v>
      </c>
      <c r="D40" s="140" t="s">
        <v>779</v>
      </c>
      <c r="E40" s="164" t="s">
        <v>659</v>
      </c>
      <c r="F40" s="160"/>
      <c r="G40" s="160" t="s">
        <v>92</v>
      </c>
      <c r="H40" s="174">
        <v>45841</v>
      </c>
      <c r="I40" s="154">
        <f t="shared" ca="1" si="0"/>
        <v>338</v>
      </c>
      <c r="J40" s="171"/>
      <c r="K40" s="171"/>
      <c r="L40" s="170"/>
      <c r="M40" s="170"/>
      <c r="N40" s="170"/>
      <c r="O40" s="170"/>
      <c r="P40" s="170"/>
      <c r="Q40" s="170"/>
      <c r="R40" s="170"/>
      <c r="S40" s="170"/>
      <c r="T40" s="160"/>
      <c r="U40" s="168"/>
    </row>
    <row r="41" spans="1:21" ht="39.950000000000003" customHeight="1" thickTop="1" thickBot="1">
      <c r="A41" s="128" t="s">
        <v>27</v>
      </c>
      <c r="B41" s="128" t="s">
        <v>114</v>
      </c>
      <c r="C41" s="155" t="s">
        <v>817</v>
      </c>
      <c r="D41" s="129" t="s">
        <v>865</v>
      </c>
      <c r="E41" s="151" t="s">
        <v>659</v>
      </c>
      <c r="F41" s="123"/>
      <c r="G41" s="123" t="s">
        <v>92</v>
      </c>
      <c r="H41" s="130">
        <v>46223</v>
      </c>
      <c r="I41" s="154">
        <f t="shared" ca="1" si="0"/>
        <v>721</v>
      </c>
      <c r="J41" s="127" t="s">
        <v>664</v>
      </c>
      <c r="K41" s="123" t="s">
        <v>664</v>
      </c>
      <c r="L41" s="123"/>
      <c r="M41" s="123"/>
      <c r="N41" s="123"/>
      <c r="O41" s="123"/>
      <c r="P41" s="123"/>
      <c r="Q41" s="123"/>
      <c r="R41" s="123"/>
      <c r="S41" s="123"/>
      <c r="T41" s="123"/>
      <c r="U41" s="5"/>
    </row>
    <row r="42" spans="1:21" ht="39.950000000000003" customHeight="1" thickTop="1" thickBot="1">
      <c r="A42" s="128" t="s">
        <v>27</v>
      </c>
      <c r="B42" s="128" t="s">
        <v>117</v>
      </c>
      <c r="C42" s="155" t="s">
        <v>118</v>
      </c>
      <c r="D42" s="129">
        <v>1</v>
      </c>
      <c r="E42" s="151" t="s">
        <v>659</v>
      </c>
      <c r="F42" s="123"/>
      <c r="G42" s="123" t="s">
        <v>92</v>
      </c>
      <c r="H42" s="130">
        <v>45841</v>
      </c>
      <c r="I42" s="154">
        <f t="shared" ca="1" si="0"/>
        <v>338</v>
      </c>
      <c r="J42" s="127"/>
      <c r="K42" s="127"/>
      <c r="L42" s="123"/>
      <c r="M42" s="123"/>
      <c r="N42" s="123"/>
      <c r="O42" s="123"/>
      <c r="P42" s="123"/>
      <c r="Q42" s="123"/>
      <c r="R42" s="123"/>
      <c r="S42" s="123"/>
      <c r="T42" s="123"/>
      <c r="U42" s="5"/>
    </row>
    <row r="43" spans="1:21" ht="39.950000000000003" customHeight="1" thickTop="1" thickBot="1">
      <c r="A43" s="128" t="s">
        <v>27</v>
      </c>
      <c r="B43" s="128" t="s">
        <v>120</v>
      </c>
      <c r="C43" s="155" t="s">
        <v>121</v>
      </c>
      <c r="D43" s="129">
        <v>1</v>
      </c>
      <c r="E43" s="151" t="s">
        <v>659</v>
      </c>
      <c r="F43" s="123"/>
      <c r="G43" s="123" t="s">
        <v>92</v>
      </c>
      <c r="H43" s="130">
        <v>45841</v>
      </c>
      <c r="I43" s="154">
        <f t="shared" ca="1" si="0"/>
        <v>338</v>
      </c>
      <c r="J43" s="127"/>
      <c r="K43" s="127"/>
      <c r="L43" s="123"/>
      <c r="M43" s="123"/>
      <c r="N43" s="123"/>
      <c r="O43" s="123"/>
      <c r="P43" s="123"/>
      <c r="Q43" s="123"/>
      <c r="R43" s="123"/>
      <c r="S43" s="123"/>
      <c r="T43" s="123"/>
      <c r="U43" s="5"/>
    </row>
    <row r="44" spans="1:21" ht="39.950000000000003" customHeight="1" thickTop="1" thickBot="1">
      <c r="A44" s="128" t="s">
        <v>27</v>
      </c>
      <c r="B44" s="128" t="s">
        <v>123</v>
      </c>
      <c r="C44" s="155" t="s">
        <v>124</v>
      </c>
      <c r="D44" s="129"/>
      <c r="E44" s="151" t="s">
        <v>326</v>
      </c>
      <c r="F44" s="123"/>
      <c r="G44" s="123"/>
      <c r="H44" s="130"/>
      <c r="I44" s="154" t="str">
        <f t="shared" ca="1" si="0"/>
        <v/>
      </c>
      <c r="J44" s="127"/>
      <c r="K44" s="127"/>
      <c r="L44" s="123"/>
      <c r="M44" s="123"/>
      <c r="N44" s="123"/>
      <c r="O44" s="123"/>
      <c r="P44" s="123"/>
      <c r="Q44" s="123"/>
      <c r="R44" s="123"/>
      <c r="S44" s="123"/>
      <c r="T44" s="123"/>
      <c r="U44" s="5"/>
    </row>
    <row r="45" spans="1:21" ht="39.950000000000003" customHeight="1" thickTop="1" thickBot="1">
      <c r="A45" s="128" t="s">
        <v>27</v>
      </c>
      <c r="B45" s="128" t="s">
        <v>127</v>
      </c>
      <c r="C45" s="155" t="s">
        <v>128</v>
      </c>
      <c r="D45" s="129"/>
      <c r="E45" s="151" t="s">
        <v>326</v>
      </c>
      <c r="F45" s="123"/>
      <c r="G45" s="123"/>
      <c r="H45" s="130"/>
      <c r="I45" s="154" t="str">
        <f ca="1">IF(H45="","",DATE(YEAR(H45)+2,MONTH(H45),DAY(H45))-TODAY())</f>
        <v/>
      </c>
      <c r="J45" s="127"/>
      <c r="K45" s="127"/>
      <c r="L45" s="123"/>
      <c r="M45" s="123"/>
      <c r="N45" s="123"/>
      <c r="O45" s="123"/>
      <c r="P45" s="123"/>
      <c r="Q45" s="123"/>
      <c r="R45" s="123"/>
      <c r="S45" s="123"/>
      <c r="T45" s="123"/>
      <c r="U45" s="5"/>
    </row>
    <row r="46" spans="1:21" ht="39.950000000000003" customHeight="1" thickTop="1" thickBot="1">
      <c r="A46" s="128" t="s">
        <v>27</v>
      </c>
      <c r="B46" s="128" t="s">
        <v>129</v>
      </c>
      <c r="C46" s="155" t="s">
        <v>130</v>
      </c>
      <c r="D46" s="129"/>
      <c r="E46" s="151" t="s">
        <v>326</v>
      </c>
      <c r="F46" s="123"/>
      <c r="G46" s="123"/>
      <c r="H46" s="130"/>
      <c r="I46" s="154" t="str">
        <f ca="1">IF(H46="","",DATE(YEAR(H46)+2,MONTH(H46),DAY(H46))-TODAY())</f>
        <v/>
      </c>
      <c r="J46" s="127"/>
      <c r="K46" s="127"/>
      <c r="L46" s="123"/>
      <c r="M46" s="123"/>
      <c r="N46" s="123"/>
      <c r="O46" s="123"/>
      <c r="P46" s="123"/>
      <c r="Q46" s="123"/>
      <c r="R46" s="123"/>
      <c r="S46" s="123"/>
      <c r="T46" s="123"/>
      <c r="U46" s="5"/>
    </row>
    <row r="47" spans="1:21" ht="39.950000000000003" customHeight="1" thickTop="1" thickBot="1">
      <c r="A47" s="128" t="s">
        <v>27</v>
      </c>
      <c r="B47" s="128" t="s">
        <v>131</v>
      </c>
      <c r="C47" s="155" t="s">
        <v>799</v>
      </c>
      <c r="D47" s="129">
        <v>1</v>
      </c>
      <c r="E47" s="151" t="s">
        <v>659</v>
      </c>
      <c r="F47" s="123"/>
      <c r="G47" s="123" t="s">
        <v>797</v>
      </c>
      <c r="H47" s="130">
        <v>45811</v>
      </c>
      <c r="I47" s="154">
        <f t="shared" ref="I47:I69" ca="1" si="2">IF(H47="","",DATE(YEAR(H47)+2,MONTH(H47),DAY(H47))-TODAY())</f>
        <v>308</v>
      </c>
      <c r="J47" s="127"/>
      <c r="K47" s="127"/>
      <c r="L47" s="123"/>
      <c r="M47" s="123"/>
      <c r="N47" s="123"/>
      <c r="O47" s="123"/>
      <c r="P47" s="123"/>
      <c r="Q47" s="123"/>
      <c r="R47" s="123"/>
      <c r="S47" s="123"/>
      <c r="T47" s="123"/>
      <c r="U47" s="5"/>
    </row>
    <row r="48" spans="1:21" ht="39.950000000000003" customHeight="1" thickTop="1" thickBot="1">
      <c r="A48" s="128" t="s">
        <v>27</v>
      </c>
      <c r="B48" s="128" t="s">
        <v>134</v>
      </c>
      <c r="C48" s="155" t="s">
        <v>135</v>
      </c>
      <c r="D48" s="129">
        <v>1</v>
      </c>
      <c r="E48" s="151" t="s">
        <v>659</v>
      </c>
      <c r="F48" s="123"/>
      <c r="G48" s="123" t="s">
        <v>88</v>
      </c>
      <c r="H48" s="130">
        <v>45841</v>
      </c>
      <c r="I48" s="154">
        <f ca="1">IF(H48="","",DATE(YEAR(H48)+2,MONTH(H48),DAY(H48))-TODAY())</f>
        <v>338</v>
      </c>
      <c r="J48" s="127"/>
      <c r="K48" s="127"/>
      <c r="L48" s="123"/>
      <c r="M48" s="123"/>
      <c r="N48" s="123"/>
      <c r="O48" s="123"/>
      <c r="P48" s="123"/>
      <c r="Q48" s="123"/>
      <c r="R48" s="123"/>
      <c r="S48" s="123"/>
      <c r="T48" s="123"/>
      <c r="U48" s="5"/>
    </row>
    <row r="49" spans="1:21" ht="39.950000000000003" customHeight="1" thickTop="1" thickBot="1">
      <c r="A49" s="128" t="s">
        <v>27</v>
      </c>
      <c r="B49" s="128" t="s">
        <v>695</v>
      </c>
      <c r="C49" s="155" t="s">
        <v>696</v>
      </c>
      <c r="D49" s="129">
        <v>0</v>
      </c>
      <c r="E49" s="151" t="s">
        <v>659</v>
      </c>
      <c r="F49" s="123" t="s">
        <v>773</v>
      </c>
      <c r="G49" s="123" t="s">
        <v>88</v>
      </c>
      <c r="H49" s="130">
        <v>46147</v>
      </c>
      <c r="I49" s="154">
        <f t="shared" ca="1" si="2"/>
        <v>645</v>
      </c>
      <c r="J49" s="127"/>
      <c r="K49" s="127"/>
      <c r="L49" s="123"/>
      <c r="M49" s="123"/>
      <c r="N49" s="123"/>
      <c r="O49" s="123"/>
      <c r="P49" s="123"/>
      <c r="Q49" s="123"/>
      <c r="R49" s="123"/>
      <c r="S49" s="123"/>
      <c r="T49" s="123"/>
      <c r="U49" s="5"/>
    </row>
    <row r="50" spans="1:21" ht="39.950000000000003" customHeight="1" thickTop="1" thickBot="1">
      <c r="A50" s="128" t="s">
        <v>27</v>
      </c>
      <c r="B50" s="128" t="s">
        <v>697</v>
      </c>
      <c r="C50" s="155" t="s">
        <v>698</v>
      </c>
      <c r="D50" s="129">
        <v>0</v>
      </c>
      <c r="E50" s="151" t="s">
        <v>659</v>
      </c>
      <c r="F50" s="123" t="s">
        <v>773</v>
      </c>
      <c r="G50" s="123" t="s">
        <v>88</v>
      </c>
      <c r="H50" s="130">
        <v>46147</v>
      </c>
      <c r="I50" s="154">
        <f t="shared" ca="1" si="2"/>
        <v>645</v>
      </c>
      <c r="J50" s="127"/>
      <c r="K50" s="127"/>
      <c r="L50" s="123"/>
      <c r="M50" s="123"/>
      <c r="N50" s="123"/>
      <c r="O50" s="123"/>
      <c r="P50" s="123"/>
      <c r="Q50" s="123"/>
      <c r="R50" s="123"/>
      <c r="S50" s="123"/>
      <c r="T50" s="123"/>
      <c r="U50" s="5"/>
    </row>
    <row r="51" spans="1:21" ht="39.950000000000003" customHeight="1" thickTop="1" thickBot="1">
      <c r="A51" s="128" t="s">
        <v>27</v>
      </c>
      <c r="B51" s="128" t="s">
        <v>143</v>
      </c>
      <c r="C51" s="155" t="s">
        <v>144</v>
      </c>
      <c r="D51" s="129" t="s">
        <v>772</v>
      </c>
      <c r="E51" s="151" t="s">
        <v>659</v>
      </c>
      <c r="F51" s="123" t="s">
        <v>812</v>
      </c>
      <c r="G51" s="123" t="s">
        <v>827</v>
      </c>
      <c r="H51" s="130">
        <v>46153</v>
      </c>
      <c r="I51" s="154">
        <f t="shared" ca="1" si="2"/>
        <v>651</v>
      </c>
      <c r="J51" s="127"/>
      <c r="K51" s="127"/>
      <c r="L51" s="123"/>
      <c r="M51" s="123"/>
      <c r="N51" s="123"/>
      <c r="O51" s="123"/>
      <c r="P51" s="123"/>
      <c r="Q51" s="123"/>
      <c r="R51" s="123"/>
      <c r="S51" s="123"/>
      <c r="T51" s="123"/>
      <c r="U51" s="5"/>
    </row>
    <row r="52" spans="1:21" ht="39.950000000000003" customHeight="1" thickTop="1" thickBot="1">
      <c r="A52" s="123" t="s">
        <v>27</v>
      </c>
      <c r="B52" s="123" t="s">
        <v>146</v>
      </c>
      <c r="C52" s="156" t="s">
        <v>147</v>
      </c>
      <c r="D52" s="123">
        <v>6</v>
      </c>
      <c r="E52" s="151" t="s">
        <v>659</v>
      </c>
      <c r="F52" s="123" t="s">
        <v>812</v>
      </c>
      <c r="G52" s="123" t="s">
        <v>787</v>
      </c>
      <c r="H52" s="124">
        <v>46161</v>
      </c>
      <c r="I52" s="154">
        <f t="shared" ca="1" si="2"/>
        <v>659</v>
      </c>
      <c r="J52" s="127" t="s">
        <v>664</v>
      </c>
      <c r="K52" s="123" t="s">
        <v>664</v>
      </c>
      <c r="L52" s="123"/>
      <c r="M52" s="123"/>
      <c r="N52" s="123"/>
      <c r="O52" s="123"/>
      <c r="P52" s="123"/>
      <c r="Q52" s="123"/>
      <c r="R52" s="123"/>
      <c r="S52" s="123"/>
      <c r="T52" s="123"/>
      <c r="U52" s="5"/>
    </row>
    <row r="53" spans="1:21" ht="39.950000000000003" customHeight="1" thickTop="1" thickBot="1">
      <c r="A53" s="128" t="s">
        <v>27</v>
      </c>
      <c r="B53" s="128" t="s">
        <v>836</v>
      </c>
      <c r="C53" s="155" t="s">
        <v>838</v>
      </c>
      <c r="D53" s="129" t="s">
        <v>837</v>
      </c>
      <c r="E53" s="151" t="s">
        <v>659</v>
      </c>
      <c r="F53" s="123"/>
      <c r="G53" s="123" t="s">
        <v>827</v>
      </c>
      <c r="H53" s="130">
        <v>46167</v>
      </c>
      <c r="I53" s="158">
        <f t="shared" ref="I53" ca="1" si="3">IF(OR(H53="****",H53=""),"",H53+(730-TODAY()))</f>
        <v>664</v>
      </c>
      <c r="J53" s="127" t="s">
        <v>664</v>
      </c>
      <c r="K53" s="127" t="s">
        <v>664</v>
      </c>
      <c r="L53" s="123"/>
      <c r="M53" s="123"/>
      <c r="N53" s="123"/>
      <c r="O53" s="123"/>
      <c r="P53" s="123"/>
      <c r="Q53" s="123"/>
      <c r="R53" s="123"/>
      <c r="S53" s="123"/>
      <c r="T53" s="123"/>
      <c r="U53" s="5"/>
    </row>
    <row r="54" spans="1:21" ht="39.950000000000003" customHeight="1" thickTop="1" thickBot="1">
      <c r="A54" s="123" t="s">
        <v>27</v>
      </c>
      <c r="B54" s="123" t="s">
        <v>148</v>
      </c>
      <c r="C54" s="156" t="s">
        <v>149</v>
      </c>
      <c r="D54" s="123">
        <v>1</v>
      </c>
      <c r="E54" s="151" t="s">
        <v>659</v>
      </c>
      <c r="F54" s="123" t="s">
        <v>813</v>
      </c>
      <c r="G54" s="123" t="s">
        <v>33</v>
      </c>
      <c r="H54" s="124">
        <v>45841</v>
      </c>
      <c r="I54" s="154">
        <f t="shared" ca="1" si="2"/>
        <v>338</v>
      </c>
      <c r="J54" s="127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5"/>
    </row>
    <row r="55" spans="1:21" ht="39.950000000000003" customHeight="1" thickTop="1" thickBot="1">
      <c r="A55" s="123" t="s">
        <v>27</v>
      </c>
      <c r="B55" s="123" t="s">
        <v>150</v>
      </c>
      <c r="C55" s="156" t="s">
        <v>151</v>
      </c>
      <c r="D55" s="123">
        <v>1</v>
      </c>
      <c r="E55" s="151" t="s">
        <v>659</v>
      </c>
      <c r="F55" s="123"/>
      <c r="G55" s="123" t="s">
        <v>33</v>
      </c>
      <c r="H55" s="124">
        <v>45841</v>
      </c>
      <c r="I55" s="154">
        <f t="shared" ca="1" si="2"/>
        <v>338</v>
      </c>
      <c r="J55" s="127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5"/>
    </row>
    <row r="56" spans="1:21" ht="39.950000000000003" customHeight="1" thickTop="1" thickBot="1">
      <c r="A56" s="123" t="s">
        <v>27</v>
      </c>
      <c r="B56" s="123" t="s">
        <v>155</v>
      </c>
      <c r="C56" s="156" t="s">
        <v>156</v>
      </c>
      <c r="D56" s="123"/>
      <c r="E56" s="151" t="s">
        <v>326</v>
      </c>
      <c r="F56" s="123"/>
      <c r="G56" s="123"/>
      <c r="H56" s="124"/>
      <c r="I56" s="154" t="str">
        <f t="shared" ca="1" si="2"/>
        <v/>
      </c>
      <c r="J56" s="127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5"/>
    </row>
    <row r="57" spans="1:21" ht="39.950000000000003" customHeight="1" thickTop="1" thickBot="1">
      <c r="A57" s="123" t="s">
        <v>27</v>
      </c>
      <c r="B57" s="123" t="s">
        <v>157</v>
      </c>
      <c r="C57" s="156" t="s">
        <v>158</v>
      </c>
      <c r="D57" s="123"/>
      <c r="E57" s="151" t="s">
        <v>326</v>
      </c>
      <c r="F57" s="123"/>
      <c r="G57" s="123"/>
      <c r="H57" s="124"/>
      <c r="I57" s="154" t="str">
        <f t="shared" ca="1" si="2"/>
        <v/>
      </c>
      <c r="J57" s="127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5"/>
    </row>
    <row r="58" spans="1:21" ht="39.950000000000003" customHeight="1" thickTop="1" thickBot="1">
      <c r="A58" s="123" t="s">
        <v>27</v>
      </c>
      <c r="B58" s="123" t="s">
        <v>159</v>
      </c>
      <c r="C58" s="156" t="s">
        <v>160</v>
      </c>
      <c r="D58" s="123">
        <v>0</v>
      </c>
      <c r="E58" s="151" t="s">
        <v>659</v>
      </c>
      <c r="F58" s="123" t="s">
        <v>870</v>
      </c>
      <c r="G58" s="123" t="s">
        <v>162</v>
      </c>
      <c r="H58" s="157">
        <v>46233</v>
      </c>
      <c r="I58" s="154">
        <f t="shared" ca="1" si="2"/>
        <v>731</v>
      </c>
      <c r="J58" s="127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5"/>
    </row>
    <row r="59" spans="1:21" ht="39.950000000000003" customHeight="1" thickTop="1" thickBot="1">
      <c r="A59" s="123" t="s">
        <v>27</v>
      </c>
      <c r="B59" s="123" t="s">
        <v>163</v>
      </c>
      <c r="C59" s="156" t="s">
        <v>164</v>
      </c>
      <c r="D59" s="123">
        <v>0</v>
      </c>
      <c r="E59" s="151" t="s">
        <v>660</v>
      </c>
      <c r="F59" s="123" t="s">
        <v>870</v>
      </c>
      <c r="G59" s="123" t="s">
        <v>162</v>
      </c>
      <c r="H59" s="157">
        <v>46233</v>
      </c>
      <c r="I59" s="154">
        <f t="shared" ca="1" si="2"/>
        <v>731</v>
      </c>
      <c r="J59" s="127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5"/>
    </row>
    <row r="60" spans="1:21" ht="39.950000000000003" customHeight="1" thickTop="1" thickBot="1">
      <c r="A60" s="123" t="s">
        <v>27</v>
      </c>
      <c r="B60" s="123" t="s">
        <v>165</v>
      </c>
      <c r="C60" s="156" t="s">
        <v>166</v>
      </c>
      <c r="D60" s="123"/>
      <c r="E60" s="151" t="s">
        <v>326</v>
      </c>
      <c r="F60" s="123"/>
      <c r="G60" s="123"/>
      <c r="H60" s="124"/>
      <c r="I60" s="154" t="str">
        <f t="shared" ca="1" si="2"/>
        <v/>
      </c>
      <c r="J60" s="127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5"/>
    </row>
    <row r="61" spans="1:21" ht="39.950000000000003" customHeight="1" thickTop="1" thickBot="1">
      <c r="A61" s="123" t="s">
        <v>27</v>
      </c>
      <c r="B61" s="123" t="s">
        <v>167</v>
      </c>
      <c r="C61" s="156" t="s">
        <v>168</v>
      </c>
      <c r="D61" s="123">
        <v>1</v>
      </c>
      <c r="E61" s="151" t="s">
        <v>659</v>
      </c>
      <c r="F61" s="123"/>
      <c r="G61" s="123" t="s">
        <v>169</v>
      </c>
      <c r="H61" s="124">
        <v>45841</v>
      </c>
      <c r="I61" s="154">
        <f t="shared" ca="1" si="2"/>
        <v>338</v>
      </c>
      <c r="J61" s="127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5"/>
    </row>
    <row r="62" spans="1:21" ht="39.950000000000003" customHeight="1" thickTop="1" thickBot="1">
      <c r="A62" s="123" t="s">
        <v>27</v>
      </c>
      <c r="B62" s="123" t="s">
        <v>170</v>
      </c>
      <c r="C62" s="156" t="s">
        <v>171</v>
      </c>
      <c r="D62" s="123"/>
      <c r="E62" s="151" t="s">
        <v>326</v>
      </c>
      <c r="F62" s="123"/>
      <c r="G62" s="123"/>
      <c r="H62" s="124"/>
      <c r="I62" s="154" t="str">
        <f t="shared" ca="1" si="2"/>
        <v/>
      </c>
      <c r="J62" s="127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5"/>
    </row>
    <row r="63" spans="1:21" ht="39.950000000000003" customHeight="1" thickTop="1" thickBot="1">
      <c r="A63" s="123" t="s">
        <v>27</v>
      </c>
      <c r="B63" s="123" t="s">
        <v>831</v>
      </c>
      <c r="C63" s="156" t="s">
        <v>832</v>
      </c>
      <c r="D63" s="123">
        <v>1</v>
      </c>
      <c r="E63" s="151" t="s">
        <v>659</v>
      </c>
      <c r="F63" s="123"/>
      <c r="G63" s="123" t="s">
        <v>169</v>
      </c>
      <c r="H63" s="124">
        <v>46178</v>
      </c>
      <c r="I63" s="154">
        <f t="shared" ca="1" si="2"/>
        <v>676</v>
      </c>
      <c r="J63" s="127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5"/>
    </row>
    <row r="64" spans="1:21" ht="39.950000000000003" customHeight="1" thickTop="1" thickBot="1">
      <c r="A64" s="123" t="s">
        <v>27</v>
      </c>
      <c r="B64" s="123" t="s">
        <v>866</v>
      </c>
      <c r="C64" s="156" t="s">
        <v>867</v>
      </c>
      <c r="D64" s="123"/>
      <c r="E64" s="151" t="s">
        <v>326</v>
      </c>
      <c r="F64" s="123"/>
      <c r="G64" s="123"/>
      <c r="H64" s="124"/>
      <c r="I64" s="154" t="str">
        <f t="shared" ref="I64" ca="1" si="4">IF(H64="","",DATE(YEAR(H64)+2,MONTH(H64),DAY(H64))-TODAY())</f>
        <v/>
      </c>
      <c r="J64" s="127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5"/>
    </row>
    <row r="65" spans="1:21" ht="39.950000000000003" customHeight="1" thickTop="1" thickBot="1">
      <c r="A65" s="128" t="s">
        <v>27</v>
      </c>
      <c r="B65" s="128" t="s">
        <v>177</v>
      </c>
      <c r="C65" s="155" t="s">
        <v>699</v>
      </c>
      <c r="D65" s="128">
        <v>3</v>
      </c>
      <c r="E65" s="152" t="s">
        <v>659</v>
      </c>
      <c r="F65" s="128"/>
      <c r="G65" s="128" t="s">
        <v>182</v>
      </c>
      <c r="H65" s="133">
        <v>45841</v>
      </c>
      <c r="I65" s="154">
        <f t="shared" ca="1" si="2"/>
        <v>338</v>
      </c>
      <c r="J65" s="134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5"/>
    </row>
    <row r="66" spans="1:21" ht="39.950000000000003" customHeight="1" thickTop="1" thickBot="1">
      <c r="A66" s="128" t="s">
        <v>27</v>
      </c>
      <c r="B66" s="128" t="s">
        <v>700</v>
      </c>
      <c r="C66" s="155" t="s">
        <v>701</v>
      </c>
      <c r="D66" s="128">
        <v>1</v>
      </c>
      <c r="E66" s="152" t="s">
        <v>659</v>
      </c>
      <c r="F66" s="128"/>
      <c r="G66" s="128" t="s">
        <v>232</v>
      </c>
      <c r="H66" s="133">
        <v>45841</v>
      </c>
      <c r="I66" s="154">
        <f t="shared" ca="1" si="2"/>
        <v>338</v>
      </c>
      <c r="J66" s="134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5"/>
    </row>
    <row r="67" spans="1:21" ht="39.950000000000003" customHeight="1" thickTop="1" thickBot="1">
      <c r="A67" s="128" t="s">
        <v>27</v>
      </c>
      <c r="B67" s="128" t="s">
        <v>187</v>
      </c>
      <c r="C67" s="155" t="s">
        <v>188</v>
      </c>
      <c r="D67" s="128">
        <v>2</v>
      </c>
      <c r="E67" s="152" t="s">
        <v>659</v>
      </c>
      <c r="F67" s="128"/>
      <c r="G67" s="128" t="s">
        <v>2</v>
      </c>
      <c r="H67" s="133">
        <v>46122</v>
      </c>
      <c r="I67" s="154">
        <f t="shared" ca="1" si="2"/>
        <v>620</v>
      </c>
      <c r="J67" s="134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5"/>
    </row>
    <row r="68" spans="1:21" ht="39.950000000000003" customHeight="1" thickTop="1" thickBot="1">
      <c r="A68" s="128" t="s">
        <v>27</v>
      </c>
      <c r="B68" s="128" t="s">
        <v>189</v>
      </c>
      <c r="C68" s="155" t="s">
        <v>702</v>
      </c>
      <c r="D68" s="128">
        <v>3</v>
      </c>
      <c r="E68" s="152" t="s">
        <v>659</v>
      </c>
      <c r="F68" s="128"/>
      <c r="G68" s="128" t="s">
        <v>2</v>
      </c>
      <c r="H68" s="133">
        <v>46122</v>
      </c>
      <c r="I68" s="154">
        <f t="shared" ca="1" si="2"/>
        <v>620</v>
      </c>
      <c r="J68" s="134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5"/>
    </row>
    <row r="69" spans="1:21" ht="39.950000000000003" customHeight="1" thickTop="1" thickBot="1">
      <c r="A69" s="128" t="s">
        <v>27</v>
      </c>
      <c r="B69" s="128" t="s">
        <v>192</v>
      </c>
      <c r="C69" s="155" t="s">
        <v>193</v>
      </c>
      <c r="D69" s="128">
        <v>4</v>
      </c>
      <c r="E69" s="152" t="s">
        <v>659</v>
      </c>
      <c r="F69" s="128"/>
      <c r="G69" s="128" t="s">
        <v>2</v>
      </c>
      <c r="H69" s="133">
        <v>46122</v>
      </c>
      <c r="I69" s="154">
        <f t="shared" ca="1" si="2"/>
        <v>620</v>
      </c>
      <c r="J69" s="134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5"/>
    </row>
    <row r="70" spans="1:21" ht="39.950000000000003" customHeight="1" thickTop="1" thickBot="1">
      <c r="A70" s="123" t="s">
        <v>27</v>
      </c>
      <c r="B70" s="123" t="s">
        <v>195</v>
      </c>
      <c r="C70" s="155" t="s">
        <v>196</v>
      </c>
      <c r="D70" s="123"/>
      <c r="E70" s="151" t="s">
        <v>326</v>
      </c>
      <c r="F70" s="123"/>
      <c r="G70" s="123"/>
      <c r="H70" s="124"/>
      <c r="I70" s="154" t="str">
        <f ca="1">IF(H70="","",DATE(YEAR(H70)+2,MONTH(H70),DAY(H70))-TODAY())</f>
        <v/>
      </c>
      <c r="J70" s="127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5"/>
    </row>
    <row r="71" spans="1:21" ht="39.950000000000003" customHeight="1" thickTop="1" thickBot="1">
      <c r="A71" s="123" t="s">
        <v>27</v>
      </c>
      <c r="B71" s="123" t="s">
        <v>197</v>
      </c>
      <c r="C71" s="155" t="s">
        <v>198</v>
      </c>
      <c r="D71" s="123">
        <v>6</v>
      </c>
      <c r="E71" s="151" t="s">
        <v>659</v>
      </c>
      <c r="F71" s="123"/>
      <c r="G71" s="123" t="s">
        <v>2</v>
      </c>
      <c r="H71" s="124">
        <v>46122</v>
      </c>
      <c r="I71" s="154">
        <f t="shared" ref="I71:I80" ca="1" si="5">IF(H71="","",DATE(YEAR(H71)+2,MONTH(H71),DAY(H71))-TODAY())</f>
        <v>620</v>
      </c>
      <c r="J71" s="127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5"/>
    </row>
    <row r="72" spans="1:21" ht="39.950000000000003" customHeight="1" thickTop="1" thickBot="1">
      <c r="A72" s="123" t="s">
        <v>27</v>
      </c>
      <c r="B72" s="123" t="s">
        <v>200</v>
      </c>
      <c r="C72" s="155" t="s">
        <v>201</v>
      </c>
      <c r="D72" s="123">
        <v>1</v>
      </c>
      <c r="E72" s="151" t="s">
        <v>659</v>
      </c>
      <c r="F72" s="123"/>
      <c r="G72" s="123" t="s">
        <v>764</v>
      </c>
      <c r="H72" s="124">
        <v>45841</v>
      </c>
      <c r="I72" s="154">
        <f t="shared" ca="1" si="5"/>
        <v>338</v>
      </c>
      <c r="J72" s="127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5"/>
    </row>
    <row r="73" spans="1:21" ht="39.950000000000003" customHeight="1" thickTop="1" thickBot="1">
      <c r="A73" s="123" t="s">
        <v>27</v>
      </c>
      <c r="B73" s="123" t="s">
        <v>204</v>
      </c>
      <c r="C73" s="155" t="s">
        <v>703</v>
      </c>
      <c r="D73" s="123">
        <v>4</v>
      </c>
      <c r="E73" s="151" t="s">
        <v>659</v>
      </c>
      <c r="F73" s="123"/>
      <c r="G73" s="123" t="s">
        <v>2</v>
      </c>
      <c r="H73" s="124">
        <v>46106</v>
      </c>
      <c r="I73" s="154">
        <f t="shared" ca="1" si="5"/>
        <v>604</v>
      </c>
      <c r="J73" s="127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5"/>
    </row>
    <row r="74" spans="1:21" ht="39.950000000000003" customHeight="1" thickTop="1" thickBot="1">
      <c r="A74" s="123" t="s">
        <v>27</v>
      </c>
      <c r="B74" s="123" t="s">
        <v>208</v>
      </c>
      <c r="C74" s="155" t="s">
        <v>704</v>
      </c>
      <c r="D74" s="123">
        <v>1</v>
      </c>
      <c r="E74" s="151" t="s">
        <v>659</v>
      </c>
      <c r="F74" s="123"/>
      <c r="G74" s="123" t="s">
        <v>2</v>
      </c>
      <c r="H74" s="124">
        <v>45723</v>
      </c>
      <c r="I74" s="154">
        <f t="shared" ca="1" si="5"/>
        <v>220</v>
      </c>
      <c r="J74" s="127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5"/>
    </row>
    <row r="75" spans="1:21" ht="39.950000000000003" customHeight="1" thickTop="1" thickBot="1">
      <c r="A75" s="123" t="s">
        <v>27</v>
      </c>
      <c r="B75" s="123" t="s">
        <v>215</v>
      </c>
      <c r="C75" s="155" t="s">
        <v>216</v>
      </c>
      <c r="D75" s="123">
        <v>1</v>
      </c>
      <c r="E75" s="151" t="s">
        <v>659</v>
      </c>
      <c r="F75" s="123"/>
      <c r="G75" s="123" t="s">
        <v>67</v>
      </c>
      <c r="H75" s="124">
        <v>45841</v>
      </c>
      <c r="I75" s="154">
        <f t="shared" ca="1" si="5"/>
        <v>338</v>
      </c>
      <c r="J75" s="127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5"/>
    </row>
    <row r="76" spans="1:21" ht="39.950000000000003" customHeight="1" thickTop="1" thickBot="1">
      <c r="A76" s="123" t="s">
        <v>27</v>
      </c>
      <c r="B76" s="123" t="s">
        <v>218</v>
      </c>
      <c r="C76" s="155" t="s">
        <v>219</v>
      </c>
      <c r="D76" s="123">
        <v>4</v>
      </c>
      <c r="E76" s="151" t="s">
        <v>659</v>
      </c>
      <c r="F76" s="123"/>
      <c r="G76" s="123" t="s">
        <v>765</v>
      </c>
      <c r="H76" s="124">
        <v>46220</v>
      </c>
      <c r="I76" s="154">
        <f t="shared" ca="1" si="5"/>
        <v>718</v>
      </c>
      <c r="J76" s="127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5"/>
    </row>
    <row r="77" spans="1:21" ht="39.950000000000003" customHeight="1" thickTop="1" thickBot="1">
      <c r="A77" s="123" t="s">
        <v>27</v>
      </c>
      <c r="B77" s="123" t="s">
        <v>324</v>
      </c>
      <c r="C77" s="155" t="s">
        <v>325</v>
      </c>
      <c r="D77" s="123">
        <v>2</v>
      </c>
      <c r="E77" s="151" t="s">
        <v>659</v>
      </c>
      <c r="F77" s="123"/>
      <c r="G77" s="123" t="s">
        <v>22</v>
      </c>
      <c r="H77" s="124">
        <v>46209</v>
      </c>
      <c r="I77" s="154">
        <f ca="1">IF(H77="","",DATE(YEAR(H77)+2,MONTH(H77),DAY(H77))-TODAY())</f>
        <v>707</v>
      </c>
      <c r="J77" s="127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5"/>
    </row>
    <row r="78" spans="1:21" ht="39.950000000000003" customHeight="1" thickTop="1" thickBot="1">
      <c r="A78" s="123" t="s">
        <v>27</v>
      </c>
      <c r="B78" s="123" t="s">
        <v>222</v>
      </c>
      <c r="C78" s="155" t="s">
        <v>223</v>
      </c>
      <c r="D78" s="123"/>
      <c r="E78" s="151" t="s">
        <v>326</v>
      </c>
      <c r="F78" s="123"/>
      <c r="G78" s="123"/>
      <c r="H78" s="124"/>
      <c r="I78" s="154" t="str">
        <f t="shared" ca="1" si="5"/>
        <v/>
      </c>
      <c r="J78" s="127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5"/>
    </row>
    <row r="79" spans="1:21" ht="39.950000000000003" customHeight="1" thickTop="1" thickBot="1">
      <c r="A79" s="123" t="s">
        <v>27</v>
      </c>
      <c r="B79" s="123" t="s">
        <v>225</v>
      </c>
      <c r="C79" s="155" t="s">
        <v>705</v>
      </c>
      <c r="D79" s="123">
        <v>2</v>
      </c>
      <c r="E79" s="151" t="s">
        <v>659</v>
      </c>
      <c r="F79" s="123"/>
      <c r="G79" s="123" t="s">
        <v>67</v>
      </c>
      <c r="H79" s="124">
        <v>45841</v>
      </c>
      <c r="I79" s="154">
        <f t="shared" ca="1" si="5"/>
        <v>338</v>
      </c>
      <c r="J79" s="127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5"/>
    </row>
    <row r="80" spans="1:21" ht="39.950000000000003" customHeight="1" thickTop="1" thickBot="1">
      <c r="A80" s="123" t="s">
        <v>27</v>
      </c>
      <c r="B80" s="123" t="s">
        <v>227</v>
      </c>
      <c r="C80" s="155" t="s">
        <v>816</v>
      </c>
      <c r="D80" s="123">
        <v>1</v>
      </c>
      <c r="E80" s="151" t="s">
        <v>659</v>
      </c>
      <c r="F80" s="123"/>
      <c r="G80" s="123" t="s">
        <v>803</v>
      </c>
      <c r="H80" s="124">
        <v>46157</v>
      </c>
      <c r="I80" s="154">
        <f t="shared" ca="1" si="5"/>
        <v>655</v>
      </c>
      <c r="J80" s="127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5"/>
    </row>
    <row r="81" spans="1:21" ht="39.950000000000003" customHeight="1" thickTop="1" thickBot="1">
      <c r="A81" s="160" t="s">
        <v>27</v>
      </c>
      <c r="B81" s="160" t="s">
        <v>229</v>
      </c>
      <c r="C81" s="159" t="s">
        <v>230</v>
      </c>
      <c r="D81" s="123"/>
      <c r="E81" s="151" t="s">
        <v>326</v>
      </c>
      <c r="F81" s="123"/>
      <c r="G81" s="123"/>
      <c r="H81" s="124"/>
      <c r="I81" s="154" t="str">
        <f ca="1">IF(H81="","",DATE(YEAR(H81)+2,MONTH(H81),DAY(H81))-TODAY())</f>
        <v/>
      </c>
      <c r="J81" s="127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5"/>
    </row>
    <row r="82" spans="1:21" ht="39.950000000000003" customHeight="1" thickTop="1" thickBot="1">
      <c r="A82" s="123" t="s">
        <v>27</v>
      </c>
      <c r="B82" s="123" t="s">
        <v>233</v>
      </c>
      <c r="C82" s="155" t="s">
        <v>234</v>
      </c>
      <c r="D82" s="123"/>
      <c r="E82" s="151" t="s">
        <v>326</v>
      </c>
      <c r="F82" s="123"/>
      <c r="G82" s="123"/>
      <c r="H82" s="124"/>
      <c r="I82" s="154" t="str">
        <f ca="1">IF(H82="","",DATE(YEAR(H82)+2,MONTH(H82),DAY(H82))-TODAY())</f>
        <v/>
      </c>
      <c r="J82" s="127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5"/>
    </row>
    <row r="83" spans="1:21" ht="39.950000000000003" customHeight="1" thickTop="1" thickBot="1">
      <c r="A83" s="123" t="s">
        <v>27</v>
      </c>
      <c r="B83" s="123" t="s">
        <v>237</v>
      </c>
      <c r="C83" s="155" t="s">
        <v>238</v>
      </c>
      <c r="D83" s="123"/>
      <c r="E83" s="151" t="s">
        <v>326</v>
      </c>
      <c r="F83" s="123"/>
      <c r="G83" s="123"/>
      <c r="H83" s="124"/>
      <c r="I83" s="154" t="str">
        <f ca="1">IF(H83="","",DATE(YEAR(H83)+2,MONTH(H83),DAY(H83))-TODAY())</f>
        <v/>
      </c>
      <c r="J83" s="127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5"/>
    </row>
    <row r="84" spans="1:21" ht="39.950000000000003" customHeight="1" thickTop="1" thickBot="1">
      <c r="A84" s="123" t="s">
        <v>27</v>
      </c>
      <c r="B84" s="123" t="s">
        <v>240</v>
      </c>
      <c r="C84" s="155" t="s">
        <v>241</v>
      </c>
      <c r="D84" s="123">
        <v>1</v>
      </c>
      <c r="E84" s="151" t="s">
        <v>659</v>
      </c>
      <c r="F84" s="123"/>
      <c r="G84" s="123" t="s">
        <v>67</v>
      </c>
      <c r="H84" s="124">
        <v>45841</v>
      </c>
      <c r="I84" s="154">
        <f t="shared" ref="I84:I91" ca="1" si="6">IF(H84="","",DATE(YEAR(H84)+2,MONTH(H84),DAY(H84))-TODAY())</f>
        <v>338</v>
      </c>
      <c r="J84" s="127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5"/>
    </row>
    <row r="85" spans="1:21" s="169" customFormat="1" ht="39.950000000000003" customHeight="1" thickTop="1" thickBot="1">
      <c r="A85" s="163" t="s">
        <v>27</v>
      </c>
      <c r="B85" s="163" t="s">
        <v>243</v>
      </c>
      <c r="C85" s="162" t="s">
        <v>875</v>
      </c>
      <c r="D85" s="160"/>
      <c r="E85" s="164" t="s">
        <v>660</v>
      </c>
      <c r="F85" s="160"/>
      <c r="G85" s="160"/>
      <c r="H85" s="165"/>
      <c r="I85" s="154" t="str">
        <f t="shared" ca="1" si="6"/>
        <v/>
      </c>
      <c r="J85" s="127"/>
      <c r="K85" s="123"/>
      <c r="L85" s="123"/>
      <c r="M85" s="123"/>
      <c r="N85" s="123"/>
      <c r="O85" s="123"/>
      <c r="P85" s="123"/>
      <c r="Q85" s="123"/>
      <c r="R85" s="123"/>
      <c r="S85" s="123"/>
      <c r="T85" s="160" t="s">
        <v>874</v>
      </c>
      <c r="U85" s="168"/>
    </row>
    <row r="86" spans="1:21" ht="39.950000000000003" customHeight="1" thickTop="1" thickBot="1">
      <c r="A86" s="123" t="s">
        <v>27</v>
      </c>
      <c r="B86" s="123" t="s">
        <v>246</v>
      </c>
      <c r="C86" s="155" t="s">
        <v>706</v>
      </c>
      <c r="D86" s="123">
        <v>4</v>
      </c>
      <c r="E86" s="151" t="s">
        <v>659</v>
      </c>
      <c r="F86" s="123"/>
      <c r="G86" s="123" t="s">
        <v>67</v>
      </c>
      <c r="H86" s="157">
        <v>46168</v>
      </c>
      <c r="I86" s="154">
        <f t="shared" ca="1" si="6"/>
        <v>666</v>
      </c>
      <c r="J86" s="127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5"/>
    </row>
    <row r="87" spans="1:21" ht="39.950000000000003" customHeight="1" thickTop="1" thickBot="1">
      <c r="A87" s="123" t="s">
        <v>27</v>
      </c>
      <c r="B87" s="123" t="s">
        <v>249</v>
      </c>
      <c r="C87" s="155" t="s">
        <v>250</v>
      </c>
      <c r="D87" s="123">
        <v>1</v>
      </c>
      <c r="E87" s="151" t="s">
        <v>660</v>
      </c>
      <c r="F87" s="123"/>
      <c r="G87" s="123" t="s">
        <v>67</v>
      </c>
      <c r="H87" s="124">
        <v>45841</v>
      </c>
      <c r="I87" s="154">
        <f t="shared" ca="1" si="6"/>
        <v>338</v>
      </c>
      <c r="J87" s="127"/>
      <c r="K87" s="123"/>
      <c r="L87" s="123"/>
      <c r="M87" s="123"/>
      <c r="N87" s="123"/>
      <c r="O87" s="123"/>
      <c r="P87" s="123"/>
      <c r="Q87" s="123"/>
      <c r="R87" s="123"/>
      <c r="S87" s="123"/>
      <c r="T87" s="123" t="s">
        <v>872</v>
      </c>
      <c r="U87" s="5"/>
    </row>
    <row r="88" spans="1:21" s="169" customFormat="1" ht="39.950000000000003" customHeight="1" thickTop="1" thickBot="1">
      <c r="A88" s="160" t="s">
        <v>27</v>
      </c>
      <c r="B88" s="160" t="s">
        <v>251</v>
      </c>
      <c r="C88" s="159" t="s">
        <v>252</v>
      </c>
      <c r="D88" s="160">
        <v>4</v>
      </c>
      <c r="E88" s="164" t="s">
        <v>659</v>
      </c>
      <c r="F88" s="160"/>
      <c r="G88" s="160" t="s">
        <v>67</v>
      </c>
      <c r="H88" s="165">
        <v>46163</v>
      </c>
      <c r="I88" s="154">
        <f t="shared" ca="1" si="6"/>
        <v>661</v>
      </c>
      <c r="J88" s="127"/>
      <c r="K88" s="123"/>
      <c r="L88" s="123"/>
      <c r="M88" s="123"/>
      <c r="N88" s="123"/>
      <c r="O88" s="123"/>
      <c r="P88" s="123"/>
      <c r="Q88" s="123"/>
      <c r="R88" s="123"/>
      <c r="S88" s="123"/>
      <c r="T88" s="160"/>
      <c r="U88" s="168"/>
    </row>
    <row r="89" spans="1:21" ht="39.950000000000003" customHeight="1" thickTop="1" thickBot="1">
      <c r="A89" s="123" t="s">
        <v>27</v>
      </c>
      <c r="B89" s="123" t="s">
        <v>254</v>
      </c>
      <c r="C89" s="155" t="s">
        <v>255</v>
      </c>
      <c r="D89" s="123">
        <v>2</v>
      </c>
      <c r="E89" s="151" t="s">
        <v>659</v>
      </c>
      <c r="F89" s="123"/>
      <c r="G89" s="123" t="s">
        <v>67</v>
      </c>
      <c r="H89" s="124">
        <v>46029</v>
      </c>
      <c r="I89" s="154">
        <f t="shared" ca="1" si="6"/>
        <v>526</v>
      </c>
      <c r="J89" s="127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5"/>
    </row>
    <row r="90" spans="1:21" ht="39.950000000000003" customHeight="1" thickTop="1" thickBot="1">
      <c r="A90" s="123" t="s">
        <v>27</v>
      </c>
      <c r="B90" s="123" t="s">
        <v>257</v>
      </c>
      <c r="C90" s="155" t="s">
        <v>258</v>
      </c>
      <c r="D90" s="123">
        <v>1</v>
      </c>
      <c r="E90" s="151" t="s">
        <v>660</v>
      </c>
      <c r="F90" s="123"/>
      <c r="G90" s="123" t="s">
        <v>67</v>
      </c>
      <c r="H90" s="124">
        <v>45841</v>
      </c>
      <c r="I90" s="154">
        <f t="shared" ca="1" si="6"/>
        <v>338</v>
      </c>
      <c r="J90" s="127"/>
      <c r="K90" s="123"/>
      <c r="L90" s="123"/>
      <c r="M90" s="123"/>
      <c r="N90" s="123"/>
      <c r="O90" s="123"/>
      <c r="P90" s="123"/>
      <c r="Q90" s="123"/>
      <c r="R90" s="123"/>
      <c r="S90" s="123"/>
      <c r="T90" s="123" t="s">
        <v>871</v>
      </c>
      <c r="U90" s="5"/>
    </row>
    <row r="91" spans="1:21" ht="39.950000000000003" customHeight="1" thickTop="1" thickBot="1">
      <c r="A91" s="123" t="s">
        <v>27</v>
      </c>
      <c r="B91" s="123" t="s">
        <v>260</v>
      </c>
      <c r="C91" s="155" t="s">
        <v>261</v>
      </c>
      <c r="D91" s="123"/>
      <c r="E91" s="151" t="s">
        <v>326</v>
      </c>
      <c r="F91" s="123"/>
      <c r="G91" s="123"/>
      <c r="H91" s="124"/>
      <c r="I91" s="154" t="str">
        <f t="shared" ca="1" si="6"/>
        <v/>
      </c>
      <c r="J91" s="127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5"/>
    </row>
    <row r="92" spans="1:21" ht="44.25" customHeight="1" thickTop="1" thickBot="1">
      <c r="A92" s="123" t="s">
        <v>27</v>
      </c>
      <c r="B92" s="123" t="s">
        <v>263</v>
      </c>
      <c r="C92" s="155" t="s">
        <v>264</v>
      </c>
      <c r="D92" s="123"/>
      <c r="E92" s="151" t="s">
        <v>326</v>
      </c>
      <c r="F92" s="123"/>
      <c r="G92" s="123"/>
      <c r="H92" s="124"/>
      <c r="I92" s="154" t="str">
        <f ca="1">IF(H92="","",DATE(YEAR(H92)+2,MONTH(H92),DAY(H92))-TODAY())</f>
        <v/>
      </c>
      <c r="J92" s="127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5"/>
    </row>
    <row r="93" spans="1:21" ht="39.950000000000003" customHeight="1" thickTop="1" thickBot="1">
      <c r="A93" s="123" t="s">
        <v>27</v>
      </c>
      <c r="B93" s="123" t="s">
        <v>266</v>
      </c>
      <c r="C93" s="155" t="s">
        <v>267</v>
      </c>
      <c r="D93" s="123">
        <v>2</v>
      </c>
      <c r="E93" s="151" t="s">
        <v>659</v>
      </c>
      <c r="F93" s="123"/>
      <c r="G93" s="123" t="s">
        <v>236</v>
      </c>
      <c r="H93" s="157">
        <v>46230</v>
      </c>
      <c r="I93" s="154">
        <f t="shared" ref="I93:I96" ca="1" si="7">IF(H93="","",DATE(YEAR(H93)+2,MONTH(H93),DAY(H93))-TODAY())</f>
        <v>728</v>
      </c>
      <c r="J93" s="127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5"/>
    </row>
    <row r="94" spans="1:21" ht="39.950000000000003" customHeight="1" thickTop="1" thickBot="1">
      <c r="A94" s="123" t="s">
        <v>27</v>
      </c>
      <c r="B94" s="123" t="s">
        <v>269</v>
      </c>
      <c r="C94" s="155" t="s">
        <v>244</v>
      </c>
      <c r="D94" s="123"/>
      <c r="E94" s="151" t="s">
        <v>326</v>
      </c>
      <c r="F94" s="123"/>
      <c r="G94" s="123"/>
      <c r="H94" s="124"/>
      <c r="I94" s="154" t="str">
        <f t="shared" ca="1" si="7"/>
        <v/>
      </c>
      <c r="J94" s="127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5"/>
    </row>
    <row r="95" spans="1:21" ht="39.950000000000003" customHeight="1" thickTop="1" thickBot="1">
      <c r="A95" s="123" t="s">
        <v>27</v>
      </c>
      <c r="B95" s="123" t="s">
        <v>273</v>
      </c>
      <c r="C95" s="155" t="s">
        <v>274</v>
      </c>
      <c r="D95" s="123"/>
      <c r="E95" s="151" t="s">
        <v>326</v>
      </c>
      <c r="F95" s="123"/>
      <c r="G95" s="123"/>
      <c r="H95" s="124"/>
      <c r="I95" s="154" t="str">
        <f ca="1">IF(H95="","",DATE(YEAR(H95)+2,MONTH(H95),DAY(H95))-TODAY())</f>
        <v/>
      </c>
      <c r="J95" s="127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5"/>
    </row>
    <row r="96" spans="1:21" s="169" customFormat="1" ht="39.950000000000003" customHeight="1" thickTop="1" thickBot="1">
      <c r="A96" s="160" t="s">
        <v>27</v>
      </c>
      <c r="B96" s="160" t="s">
        <v>856</v>
      </c>
      <c r="C96" s="159" t="s">
        <v>857</v>
      </c>
      <c r="D96" s="160">
        <v>1</v>
      </c>
      <c r="E96" s="164" t="s">
        <v>659</v>
      </c>
      <c r="F96" s="160"/>
      <c r="G96" s="160" t="s">
        <v>858</v>
      </c>
      <c r="H96" s="165">
        <v>45578</v>
      </c>
      <c r="I96" s="154">
        <f t="shared" ca="1" si="7"/>
        <v>75</v>
      </c>
      <c r="J96" s="127"/>
      <c r="K96" s="123"/>
      <c r="L96" s="123"/>
      <c r="M96" s="123"/>
      <c r="N96" s="123"/>
      <c r="O96" s="123"/>
      <c r="P96" s="123"/>
      <c r="Q96" s="123"/>
      <c r="R96" s="123"/>
      <c r="S96" s="123"/>
      <c r="T96" s="160"/>
      <c r="U96" s="168"/>
    </row>
    <row r="97" spans="1:21" ht="39.950000000000003" customHeight="1" thickTop="1" thickBot="1">
      <c r="A97" s="123" t="s">
        <v>27</v>
      </c>
      <c r="B97" s="123" t="s">
        <v>281</v>
      </c>
      <c r="C97" s="155" t="s">
        <v>824</v>
      </c>
      <c r="D97" s="123">
        <v>1</v>
      </c>
      <c r="E97" s="151" t="s">
        <v>659</v>
      </c>
      <c r="F97" s="123"/>
      <c r="G97" s="123" t="s">
        <v>232</v>
      </c>
      <c r="H97" s="124">
        <v>45578</v>
      </c>
      <c r="I97" s="154">
        <f t="shared" ref="I97:I98" ca="1" si="8">IF(H97="","",DATE(YEAR(H97)+2,MONTH(H97),DAY(H97))-TODAY())</f>
        <v>75</v>
      </c>
      <c r="J97" s="127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5"/>
    </row>
    <row r="98" spans="1:21" ht="39.950000000000003" customHeight="1" thickTop="1" thickBot="1">
      <c r="A98" s="123" t="s">
        <v>27</v>
      </c>
      <c r="B98" s="123" t="s">
        <v>284</v>
      </c>
      <c r="C98" s="155" t="s">
        <v>869</v>
      </c>
      <c r="D98" s="123">
        <v>1</v>
      </c>
      <c r="E98" s="151" t="s">
        <v>659</v>
      </c>
      <c r="F98" s="123"/>
      <c r="G98" s="123" t="s">
        <v>232</v>
      </c>
      <c r="H98" s="124">
        <v>45578</v>
      </c>
      <c r="I98" s="154">
        <f t="shared" ca="1" si="8"/>
        <v>75</v>
      </c>
      <c r="J98" s="127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5"/>
    </row>
    <row r="99" spans="1:21" ht="39.950000000000003" customHeight="1" thickTop="1" thickBot="1">
      <c r="A99" s="123" t="s">
        <v>27</v>
      </c>
      <c r="B99" s="123" t="s">
        <v>286</v>
      </c>
      <c r="C99" s="155" t="s">
        <v>287</v>
      </c>
      <c r="D99" s="123"/>
      <c r="E99" s="151" t="s">
        <v>326</v>
      </c>
      <c r="F99" s="123"/>
      <c r="G99" s="123"/>
      <c r="H99" s="124"/>
      <c r="I99" s="154" t="str">
        <f ca="1">IF(H99="","",DATE(YEAR(H99)+2,MONTH(H99),DAY(H99))-TODAY())</f>
        <v/>
      </c>
      <c r="J99" s="127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5"/>
    </row>
    <row r="100" spans="1:21" ht="39.950000000000003" customHeight="1" thickTop="1" thickBot="1">
      <c r="A100" s="123" t="s">
        <v>27</v>
      </c>
      <c r="B100" s="123" t="s">
        <v>290</v>
      </c>
      <c r="C100" s="155" t="s">
        <v>291</v>
      </c>
      <c r="D100" s="123">
        <v>2</v>
      </c>
      <c r="E100" s="151" t="s">
        <v>659</v>
      </c>
      <c r="F100" s="123"/>
      <c r="G100" s="123" t="s">
        <v>766</v>
      </c>
      <c r="H100" s="124">
        <v>46224</v>
      </c>
      <c r="I100" s="154">
        <f t="shared" ref="I100:I119" ca="1" si="9">IF(H100="","",DATE(YEAR(H100)+2,MONTH(H100),DAY(H100))-TODAY())</f>
        <v>722</v>
      </c>
      <c r="J100" s="127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5"/>
    </row>
    <row r="101" spans="1:21" ht="39.950000000000003" customHeight="1" thickTop="1" thickBot="1">
      <c r="A101" s="123" t="s">
        <v>27</v>
      </c>
      <c r="B101" s="123" t="s">
        <v>868</v>
      </c>
      <c r="C101" s="155" t="s">
        <v>291</v>
      </c>
      <c r="D101" s="123">
        <v>2</v>
      </c>
      <c r="E101" s="151" t="s">
        <v>659</v>
      </c>
      <c r="F101" s="123"/>
      <c r="G101" s="123" t="s">
        <v>766</v>
      </c>
      <c r="H101" s="124">
        <v>46224</v>
      </c>
      <c r="I101" s="154">
        <f t="shared" ref="I101" ca="1" si="10">IF(H101="","",DATE(YEAR(H101)+2,MONTH(H101),DAY(H101))-TODAY())</f>
        <v>722</v>
      </c>
      <c r="J101" s="127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5"/>
    </row>
    <row r="102" spans="1:21" ht="39.950000000000003" customHeight="1" thickTop="1" thickBot="1">
      <c r="A102" s="123" t="s">
        <v>27</v>
      </c>
      <c r="B102" s="123" t="s">
        <v>294</v>
      </c>
      <c r="C102" s="155" t="s">
        <v>295</v>
      </c>
      <c r="D102" s="123">
        <v>2</v>
      </c>
      <c r="E102" s="151" t="s">
        <v>659</v>
      </c>
      <c r="F102" s="123"/>
      <c r="G102" s="123" t="s">
        <v>232</v>
      </c>
      <c r="H102" s="124">
        <v>46127</v>
      </c>
      <c r="I102" s="154">
        <f t="shared" ca="1" si="9"/>
        <v>625</v>
      </c>
      <c r="J102" s="127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5"/>
    </row>
    <row r="103" spans="1:21" ht="39.950000000000003" customHeight="1" thickTop="1" thickBot="1">
      <c r="A103" s="123" t="s">
        <v>27</v>
      </c>
      <c r="B103" s="123" t="s">
        <v>296</v>
      </c>
      <c r="C103" s="155" t="s">
        <v>297</v>
      </c>
      <c r="D103" s="123">
        <v>1</v>
      </c>
      <c r="E103" s="151" t="s">
        <v>659</v>
      </c>
      <c r="F103" s="123"/>
      <c r="G103" s="123" t="s">
        <v>232</v>
      </c>
      <c r="H103" s="124">
        <v>45841</v>
      </c>
      <c r="I103" s="154">
        <f t="shared" ca="1" si="9"/>
        <v>338</v>
      </c>
      <c r="J103" s="127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5"/>
    </row>
    <row r="104" spans="1:21" s="169" customFormat="1" ht="39.950000000000003" customHeight="1" thickTop="1" thickBot="1">
      <c r="A104" s="160" t="s">
        <v>27</v>
      </c>
      <c r="B104" s="160" t="s">
        <v>859</v>
      </c>
      <c r="C104" s="159" t="s">
        <v>860</v>
      </c>
      <c r="D104" s="160">
        <v>1</v>
      </c>
      <c r="E104" s="164" t="s">
        <v>659</v>
      </c>
      <c r="F104" s="160"/>
      <c r="G104" s="160" t="s">
        <v>876</v>
      </c>
      <c r="H104" s="165">
        <v>45578</v>
      </c>
      <c r="I104" s="154">
        <f t="shared" ref="I104:I105" ca="1" si="11">IF(H104="","",DATE(YEAR(H104)+2,MONTH(H104),DAY(H104))-TODAY())</f>
        <v>75</v>
      </c>
      <c r="J104" s="127"/>
      <c r="K104" s="123"/>
      <c r="L104" s="123"/>
      <c r="M104" s="123"/>
      <c r="N104" s="123"/>
      <c r="O104" s="123"/>
      <c r="P104" s="123"/>
      <c r="Q104" s="123"/>
      <c r="R104" s="123"/>
      <c r="S104" s="123"/>
      <c r="T104" s="160"/>
      <c r="U104" s="168"/>
    </row>
    <row r="105" spans="1:21" s="169" customFormat="1" ht="39.950000000000003" customHeight="1" thickTop="1" thickBot="1">
      <c r="A105" s="175" t="s">
        <v>27</v>
      </c>
      <c r="B105" s="175" t="s">
        <v>861</v>
      </c>
      <c r="C105" s="176" t="s">
        <v>862</v>
      </c>
      <c r="D105" s="160">
        <v>0</v>
      </c>
      <c r="E105" s="164" t="s">
        <v>659</v>
      </c>
      <c r="F105" s="160"/>
      <c r="G105" s="160" t="s">
        <v>877</v>
      </c>
      <c r="H105" s="165">
        <v>45578</v>
      </c>
      <c r="I105" s="154">
        <f t="shared" ca="1" si="11"/>
        <v>75</v>
      </c>
      <c r="J105" s="127"/>
      <c r="K105" s="123"/>
      <c r="L105" s="123"/>
      <c r="M105" s="123"/>
      <c r="N105" s="123"/>
      <c r="O105" s="123"/>
      <c r="P105" s="123"/>
      <c r="Q105" s="123"/>
      <c r="R105" s="123"/>
      <c r="S105" s="123"/>
      <c r="T105" s="160"/>
      <c r="U105" s="168"/>
    </row>
    <row r="106" spans="1:21" ht="39.950000000000003" customHeight="1" thickTop="1" thickBot="1">
      <c r="A106" s="123" t="s">
        <v>27</v>
      </c>
      <c r="B106" s="123" t="s">
        <v>300</v>
      </c>
      <c r="C106" s="155" t="s">
        <v>301</v>
      </c>
      <c r="D106" s="123">
        <v>1</v>
      </c>
      <c r="E106" s="151" t="s">
        <v>659</v>
      </c>
      <c r="F106" s="123"/>
      <c r="G106" s="123" t="s">
        <v>232</v>
      </c>
      <c r="H106" s="124">
        <v>46128</v>
      </c>
      <c r="I106" s="154">
        <f t="shared" ca="1" si="9"/>
        <v>626</v>
      </c>
      <c r="J106" s="127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5"/>
    </row>
    <row r="107" spans="1:21" s="169" customFormat="1" ht="39.950000000000003" customHeight="1" thickTop="1" thickBot="1">
      <c r="A107" s="175" t="s">
        <v>27</v>
      </c>
      <c r="B107" s="175" t="s">
        <v>302</v>
      </c>
      <c r="C107" s="176" t="s">
        <v>863</v>
      </c>
      <c r="D107" s="160">
        <v>0</v>
      </c>
      <c r="E107" s="164" t="s">
        <v>659</v>
      </c>
      <c r="F107" s="160"/>
      <c r="G107" s="160" t="s">
        <v>876</v>
      </c>
      <c r="H107" s="165">
        <v>45578</v>
      </c>
      <c r="I107" s="154">
        <f t="shared" ca="1" si="9"/>
        <v>75</v>
      </c>
      <c r="J107" s="127"/>
      <c r="K107" s="123"/>
      <c r="L107" s="123"/>
      <c r="M107" s="123"/>
      <c r="N107" s="123"/>
      <c r="O107" s="123"/>
      <c r="P107" s="123"/>
      <c r="Q107" s="123"/>
      <c r="R107" s="123"/>
      <c r="S107" s="123"/>
      <c r="T107" s="160"/>
      <c r="U107" s="168"/>
    </row>
    <row r="108" spans="1:21" ht="39.950000000000003" customHeight="1" thickTop="1" thickBot="1">
      <c r="A108" s="123" t="s">
        <v>27</v>
      </c>
      <c r="B108" s="123" t="s">
        <v>304</v>
      </c>
      <c r="C108" s="155" t="s">
        <v>305</v>
      </c>
      <c r="D108" s="123">
        <v>1</v>
      </c>
      <c r="E108" s="151" t="s">
        <v>659</v>
      </c>
      <c r="F108" s="123"/>
      <c r="G108" s="123" t="s">
        <v>232</v>
      </c>
      <c r="H108" s="124">
        <v>46128</v>
      </c>
      <c r="I108" s="154">
        <f t="shared" ca="1" si="9"/>
        <v>626</v>
      </c>
      <c r="J108" s="127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5"/>
    </row>
    <row r="109" spans="1:21" ht="39.950000000000003" customHeight="1" thickTop="1" thickBot="1">
      <c r="A109" s="123" t="s">
        <v>27</v>
      </c>
      <c r="B109" s="123" t="s">
        <v>707</v>
      </c>
      <c r="C109" s="155" t="s">
        <v>708</v>
      </c>
      <c r="D109" s="123">
        <v>1</v>
      </c>
      <c r="E109" s="151" t="s">
        <v>659</v>
      </c>
      <c r="F109" s="123"/>
      <c r="G109" s="123" t="s">
        <v>232</v>
      </c>
      <c r="H109" s="124">
        <v>46108</v>
      </c>
      <c r="I109" s="154">
        <f t="shared" ca="1" si="9"/>
        <v>606</v>
      </c>
      <c r="J109" s="127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5"/>
    </row>
    <row r="110" spans="1:21" s="169" customFormat="1" ht="39.950000000000003" customHeight="1" thickTop="1" thickBot="1">
      <c r="A110" s="160" t="s">
        <v>27</v>
      </c>
      <c r="B110" s="160" t="s">
        <v>308</v>
      </c>
      <c r="C110" s="159" t="s">
        <v>309</v>
      </c>
      <c r="D110" s="160">
        <v>0</v>
      </c>
      <c r="E110" s="164" t="s">
        <v>659</v>
      </c>
      <c r="F110" s="160"/>
      <c r="G110" s="160"/>
      <c r="H110" s="165">
        <v>45578</v>
      </c>
      <c r="I110" s="166">
        <f t="shared" ca="1" si="9"/>
        <v>75</v>
      </c>
      <c r="J110" s="127"/>
      <c r="K110" s="123"/>
      <c r="L110" s="123"/>
      <c r="M110" s="123"/>
      <c r="N110" s="123"/>
      <c r="O110" s="123"/>
      <c r="P110" s="123"/>
      <c r="Q110" s="123"/>
      <c r="R110" s="123"/>
      <c r="S110" s="123"/>
      <c r="T110" s="160"/>
      <c r="U110" s="168"/>
    </row>
    <row r="111" spans="1:21" ht="39.950000000000003" customHeight="1" thickTop="1" thickBot="1">
      <c r="A111" s="123" t="s">
        <v>27</v>
      </c>
      <c r="B111" s="123" t="s">
        <v>310</v>
      </c>
      <c r="C111" s="155" t="s">
        <v>311</v>
      </c>
      <c r="D111" s="123">
        <v>2</v>
      </c>
      <c r="E111" s="151" t="s">
        <v>659</v>
      </c>
      <c r="F111" s="123"/>
      <c r="G111" s="123" t="s">
        <v>313</v>
      </c>
      <c r="H111" s="124">
        <v>45841</v>
      </c>
      <c r="I111" s="154">
        <f t="shared" ca="1" si="9"/>
        <v>338</v>
      </c>
      <c r="J111" s="127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5"/>
    </row>
    <row r="112" spans="1:21" ht="39.950000000000003" customHeight="1" thickTop="1" thickBot="1">
      <c r="A112" s="123" t="s">
        <v>27</v>
      </c>
      <c r="B112" s="123" t="s">
        <v>709</v>
      </c>
      <c r="C112" s="155" t="s">
        <v>710</v>
      </c>
      <c r="D112" s="123">
        <v>0</v>
      </c>
      <c r="E112" s="151" t="s">
        <v>659</v>
      </c>
      <c r="F112" s="123"/>
      <c r="G112" s="123" t="s">
        <v>232</v>
      </c>
      <c r="H112" s="124">
        <v>46127</v>
      </c>
      <c r="I112" s="154">
        <f t="shared" ca="1" si="9"/>
        <v>625</v>
      </c>
      <c r="J112" s="127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5"/>
    </row>
    <row r="113" spans="1:21" ht="39.950000000000003" customHeight="1" thickTop="1" thickBot="1">
      <c r="A113" s="123" t="s">
        <v>27</v>
      </c>
      <c r="B113" s="123" t="s">
        <v>829</v>
      </c>
      <c r="C113" s="155" t="s">
        <v>830</v>
      </c>
      <c r="D113" s="123">
        <v>0</v>
      </c>
      <c r="E113" s="151" t="s">
        <v>659</v>
      </c>
      <c r="F113" s="123"/>
      <c r="G113" s="123"/>
      <c r="H113" s="124">
        <v>45827</v>
      </c>
      <c r="I113" s="158">
        <f t="shared" ref="I113" ca="1" si="12">IF(OR(H113="****",H113=""),"",H113+(730-TODAY()))</f>
        <v>324</v>
      </c>
      <c r="J113" s="127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5"/>
    </row>
    <row r="114" spans="1:21" ht="39.950000000000003" customHeight="1" thickTop="1" thickBot="1">
      <c r="A114" s="123" t="s">
        <v>27</v>
      </c>
      <c r="B114" s="123" t="s">
        <v>711</v>
      </c>
      <c r="C114" s="155" t="s">
        <v>774</v>
      </c>
      <c r="D114" s="123">
        <v>2</v>
      </c>
      <c r="E114" s="151" t="s">
        <v>659</v>
      </c>
      <c r="F114" s="123"/>
      <c r="G114" s="123" t="s">
        <v>767</v>
      </c>
      <c r="H114" s="124">
        <v>45841</v>
      </c>
      <c r="I114" s="154">
        <f t="shared" ca="1" si="9"/>
        <v>338</v>
      </c>
      <c r="J114" s="127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5"/>
    </row>
    <row r="115" spans="1:21" ht="39.950000000000003" customHeight="1" thickTop="1" thickBot="1">
      <c r="A115" s="123" t="s">
        <v>27</v>
      </c>
      <c r="B115" s="123" t="s">
        <v>712</v>
      </c>
      <c r="C115" s="155" t="s">
        <v>713</v>
      </c>
      <c r="D115" s="123">
        <v>1</v>
      </c>
      <c r="E115" s="151" t="s">
        <v>659</v>
      </c>
      <c r="F115" s="123"/>
      <c r="G115" s="123" t="s">
        <v>232</v>
      </c>
      <c r="H115" s="124">
        <v>45841</v>
      </c>
      <c r="I115" s="154">
        <f t="shared" ca="1" si="9"/>
        <v>338</v>
      </c>
      <c r="J115" s="127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5"/>
    </row>
    <row r="116" spans="1:21" ht="39.950000000000003" customHeight="1" thickTop="1" thickBot="1">
      <c r="A116" s="123" t="s">
        <v>27</v>
      </c>
      <c r="B116" s="160" t="s">
        <v>714</v>
      </c>
      <c r="C116" s="155" t="s">
        <v>715</v>
      </c>
      <c r="D116" s="123">
        <v>1</v>
      </c>
      <c r="E116" s="151" t="s">
        <v>659</v>
      </c>
      <c r="F116" s="123"/>
      <c r="G116" s="123" t="s">
        <v>767</v>
      </c>
      <c r="H116" s="124">
        <v>45841</v>
      </c>
      <c r="I116" s="154">
        <f t="shared" ca="1" si="9"/>
        <v>338</v>
      </c>
      <c r="J116" s="127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5"/>
    </row>
    <row r="117" spans="1:21" ht="39.950000000000003" customHeight="1" thickTop="1" thickBot="1">
      <c r="A117" s="123" t="s">
        <v>27</v>
      </c>
      <c r="B117" s="160" t="s">
        <v>716</v>
      </c>
      <c r="C117" s="155" t="s">
        <v>717</v>
      </c>
      <c r="D117" s="123">
        <v>0</v>
      </c>
      <c r="E117" s="151" t="s">
        <v>659</v>
      </c>
      <c r="F117" s="123"/>
      <c r="G117" s="123" t="s">
        <v>232</v>
      </c>
      <c r="H117" s="124">
        <v>46118</v>
      </c>
      <c r="I117" s="154">
        <f t="shared" ca="1" si="9"/>
        <v>616</v>
      </c>
      <c r="J117" s="127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5"/>
    </row>
    <row r="118" spans="1:21" ht="39.950000000000003" customHeight="1" thickTop="1" thickBot="1">
      <c r="A118" s="123" t="s">
        <v>27</v>
      </c>
      <c r="B118" s="160" t="s">
        <v>718</v>
      </c>
      <c r="C118" s="155" t="s">
        <v>719</v>
      </c>
      <c r="D118" s="123">
        <v>0</v>
      </c>
      <c r="E118" s="151" t="s">
        <v>659</v>
      </c>
      <c r="F118" s="123"/>
      <c r="G118" s="123" t="s">
        <v>232</v>
      </c>
      <c r="H118" s="124">
        <v>46118</v>
      </c>
      <c r="I118" s="154">
        <f t="shared" ca="1" si="9"/>
        <v>616</v>
      </c>
      <c r="J118" s="127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5"/>
    </row>
    <row r="119" spans="1:21" ht="39.950000000000003" customHeight="1" thickTop="1" thickBot="1">
      <c r="A119" s="123" t="s">
        <v>27</v>
      </c>
      <c r="B119" s="160" t="s">
        <v>720</v>
      </c>
      <c r="C119" s="155" t="s">
        <v>721</v>
      </c>
      <c r="D119" s="123">
        <v>2</v>
      </c>
      <c r="E119" s="151" t="s">
        <v>659</v>
      </c>
      <c r="F119" s="123"/>
      <c r="G119" s="123" t="s">
        <v>766</v>
      </c>
      <c r="H119" s="124">
        <v>46224</v>
      </c>
      <c r="I119" s="154">
        <f t="shared" ca="1" si="9"/>
        <v>722</v>
      </c>
      <c r="J119" s="127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5"/>
    </row>
    <row r="120" spans="1:21" ht="39.950000000000003" customHeight="1" thickTop="1" thickBot="1">
      <c r="A120" s="123" t="s">
        <v>27</v>
      </c>
      <c r="B120" s="123" t="s">
        <v>722</v>
      </c>
      <c r="C120" s="155" t="s">
        <v>723</v>
      </c>
      <c r="D120" s="123"/>
      <c r="E120" s="151" t="s">
        <v>326</v>
      </c>
      <c r="F120" s="123"/>
      <c r="G120" s="123"/>
      <c r="H120" s="124"/>
      <c r="I120" s="154" t="str">
        <f ca="1">IF(H120="","",DATE(YEAR(H120)+2,MONTH(H120),DAY(H120))-TODAY())</f>
        <v/>
      </c>
      <c r="J120" s="127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5"/>
    </row>
    <row r="121" spans="1:21" ht="39.950000000000003" customHeight="1" thickTop="1" thickBot="1">
      <c r="A121" s="123" t="s">
        <v>27</v>
      </c>
      <c r="B121" s="160" t="s">
        <v>845</v>
      </c>
      <c r="C121" s="155" t="s">
        <v>843</v>
      </c>
      <c r="D121" s="123">
        <v>1</v>
      </c>
      <c r="E121" s="151" t="s">
        <v>659</v>
      </c>
      <c r="F121" s="123"/>
      <c r="G121" s="123" t="s">
        <v>844</v>
      </c>
      <c r="H121" s="124">
        <v>46218</v>
      </c>
      <c r="I121" s="158">
        <v>729</v>
      </c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5"/>
    </row>
    <row r="122" spans="1:21" ht="39.950000000000003" customHeight="1" thickTop="1" thickBot="1">
      <c r="A122" s="123" t="s">
        <v>27</v>
      </c>
      <c r="B122" s="123" t="s">
        <v>331</v>
      </c>
      <c r="C122" s="155" t="s">
        <v>332</v>
      </c>
      <c r="D122" s="123">
        <v>3</v>
      </c>
      <c r="E122" s="151" t="s">
        <v>659</v>
      </c>
      <c r="F122" s="123"/>
      <c r="G122" s="123" t="s">
        <v>67</v>
      </c>
      <c r="H122" s="124">
        <v>45842</v>
      </c>
      <c r="I122" s="154">
        <f t="shared" ref="I122:I159" ca="1" si="13">IF(H122="","",DATE(YEAR(H122)+2,MONTH(H122),DAY(H122))-TODAY())</f>
        <v>339</v>
      </c>
      <c r="J122" s="127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5"/>
    </row>
    <row r="123" spans="1:21" ht="39.950000000000003" customHeight="1" thickTop="1" thickBot="1">
      <c r="A123" s="123" t="s">
        <v>27</v>
      </c>
      <c r="B123" s="123" t="s">
        <v>334</v>
      </c>
      <c r="C123" s="155" t="s">
        <v>335</v>
      </c>
      <c r="D123" s="123">
        <v>2</v>
      </c>
      <c r="E123" s="151" t="s">
        <v>659</v>
      </c>
      <c r="F123" s="123"/>
      <c r="G123" s="123" t="s">
        <v>67</v>
      </c>
      <c r="H123" s="124">
        <v>46162</v>
      </c>
      <c r="I123" s="154">
        <f t="shared" ca="1" si="13"/>
        <v>660</v>
      </c>
      <c r="J123" s="127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5"/>
    </row>
    <row r="124" spans="1:21" s="169" customFormat="1" ht="39.950000000000003" customHeight="1" thickTop="1" thickBot="1">
      <c r="A124" s="160" t="s">
        <v>27</v>
      </c>
      <c r="B124" s="160" t="s">
        <v>336</v>
      </c>
      <c r="C124" s="159" t="s">
        <v>864</v>
      </c>
      <c r="D124" s="160">
        <v>2</v>
      </c>
      <c r="E124" s="164" t="s">
        <v>659</v>
      </c>
      <c r="F124" s="160"/>
      <c r="G124" s="160" t="s">
        <v>67</v>
      </c>
      <c r="H124" s="165">
        <v>46010</v>
      </c>
      <c r="I124" s="154">
        <f t="shared" ca="1" si="13"/>
        <v>507</v>
      </c>
      <c r="J124" s="173"/>
      <c r="K124" s="172"/>
      <c r="L124" s="172"/>
      <c r="M124" s="172"/>
      <c r="N124" s="172"/>
      <c r="O124" s="172"/>
      <c r="P124" s="172"/>
      <c r="Q124" s="172"/>
      <c r="R124" s="172"/>
      <c r="S124" s="172"/>
      <c r="T124" s="160"/>
      <c r="U124" s="168"/>
    </row>
    <row r="125" spans="1:21" ht="39.950000000000003" customHeight="1" thickTop="1" thickBot="1">
      <c r="A125" s="123" t="s">
        <v>27</v>
      </c>
      <c r="B125" s="123" t="s">
        <v>724</v>
      </c>
      <c r="C125" s="155" t="s">
        <v>725</v>
      </c>
      <c r="D125" s="123"/>
      <c r="E125" s="151" t="s">
        <v>326</v>
      </c>
      <c r="F125" s="123"/>
      <c r="G125" s="123"/>
      <c r="H125" s="124"/>
      <c r="I125" s="154" t="str">
        <f t="shared" ca="1" si="13"/>
        <v/>
      </c>
      <c r="J125" s="127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5"/>
    </row>
    <row r="126" spans="1:21" ht="39.950000000000003" customHeight="1" thickTop="1" thickBot="1">
      <c r="A126" s="160" t="s">
        <v>27</v>
      </c>
      <c r="B126" s="160" t="s">
        <v>338</v>
      </c>
      <c r="C126" s="159" t="s">
        <v>726</v>
      </c>
      <c r="D126" s="123">
        <v>1</v>
      </c>
      <c r="E126" s="151" t="s">
        <v>660</v>
      </c>
      <c r="F126" s="123"/>
      <c r="G126" s="123" t="s">
        <v>67</v>
      </c>
      <c r="H126" s="124">
        <v>45457</v>
      </c>
      <c r="I126" s="154">
        <f t="shared" ca="1" si="13"/>
        <v>-46</v>
      </c>
      <c r="J126" s="127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 t="s">
        <v>872</v>
      </c>
      <c r="U126" s="5"/>
    </row>
    <row r="127" spans="1:21" ht="39.950000000000003" customHeight="1" thickTop="1" thickBot="1">
      <c r="A127" s="123" t="s">
        <v>27</v>
      </c>
      <c r="B127" s="123" t="s">
        <v>341</v>
      </c>
      <c r="C127" s="155" t="s">
        <v>342</v>
      </c>
      <c r="D127" s="123">
        <v>3</v>
      </c>
      <c r="E127" s="151" t="s">
        <v>659</v>
      </c>
      <c r="F127" s="123"/>
      <c r="G127" s="123" t="s">
        <v>67</v>
      </c>
      <c r="H127" s="124">
        <v>45842</v>
      </c>
      <c r="I127" s="154">
        <f t="shared" ca="1" si="13"/>
        <v>339</v>
      </c>
      <c r="J127" s="127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5"/>
    </row>
    <row r="128" spans="1:21" ht="39.950000000000003" customHeight="1" thickTop="1" thickBot="1">
      <c r="A128" s="123" t="s">
        <v>27</v>
      </c>
      <c r="B128" s="123" t="s">
        <v>343</v>
      </c>
      <c r="C128" s="155" t="s">
        <v>344</v>
      </c>
      <c r="D128" s="123">
        <v>4</v>
      </c>
      <c r="E128" s="151" t="s">
        <v>659</v>
      </c>
      <c r="F128" s="123"/>
      <c r="G128" s="123" t="s">
        <v>67</v>
      </c>
      <c r="H128" s="124">
        <v>45842</v>
      </c>
      <c r="I128" s="154">
        <f t="shared" ca="1" si="13"/>
        <v>339</v>
      </c>
      <c r="J128" s="127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5"/>
    </row>
    <row r="129" spans="1:21" ht="39.950000000000003" customHeight="1" thickTop="1" thickBot="1">
      <c r="A129" s="123" t="s">
        <v>27</v>
      </c>
      <c r="B129" s="123" t="s">
        <v>345</v>
      </c>
      <c r="C129" s="155" t="s">
        <v>346</v>
      </c>
      <c r="D129" s="123">
        <v>3</v>
      </c>
      <c r="E129" s="151" t="s">
        <v>659</v>
      </c>
      <c r="F129" s="123"/>
      <c r="G129" s="123" t="s">
        <v>67</v>
      </c>
      <c r="H129" s="124">
        <v>45842</v>
      </c>
      <c r="I129" s="154">
        <f t="shared" ca="1" si="13"/>
        <v>339</v>
      </c>
      <c r="J129" s="127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5"/>
    </row>
    <row r="130" spans="1:21" ht="39.950000000000003" customHeight="1" thickTop="1" thickBot="1">
      <c r="A130" s="123" t="s">
        <v>27</v>
      </c>
      <c r="B130" s="123" t="s">
        <v>348</v>
      </c>
      <c r="C130" s="155" t="s">
        <v>847</v>
      </c>
      <c r="D130" s="123">
        <v>1</v>
      </c>
      <c r="E130" s="151" t="s">
        <v>659</v>
      </c>
      <c r="F130" s="123"/>
      <c r="G130" s="123" t="s">
        <v>67</v>
      </c>
      <c r="H130" s="157">
        <v>46168</v>
      </c>
      <c r="I130" s="154">
        <f t="shared" ca="1" si="13"/>
        <v>666</v>
      </c>
      <c r="J130" s="127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5"/>
    </row>
    <row r="131" spans="1:21" ht="39.950000000000003" customHeight="1" thickTop="1" thickBot="1">
      <c r="A131" s="123" t="s">
        <v>27</v>
      </c>
      <c r="B131" s="123" t="s">
        <v>351</v>
      </c>
      <c r="C131" s="155" t="s">
        <v>352</v>
      </c>
      <c r="D131" s="123">
        <v>3</v>
      </c>
      <c r="E131" s="151" t="s">
        <v>659</v>
      </c>
      <c r="F131" s="123"/>
      <c r="G131" s="123" t="s">
        <v>67</v>
      </c>
      <c r="H131" s="124">
        <v>45842</v>
      </c>
      <c r="I131" s="154">
        <f t="shared" ca="1" si="13"/>
        <v>339</v>
      </c>
      <c r="J131" s="127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5"/>
    </row>
    <row r="132" spans="1:21" ht="39.950000000000003" customHeight="1" thickTop="1" thickBot="1">
      <c r="A132" s="123" t="s">
        <v>27</v>
      </c>
      <c r="B132" s="123" t="s">
        <v>354</v>
      </c>
      <c r="C132" s="155" t="s">
        <v>727</v>
      </c>
      <c r="D132" s="123">
        <v>3</v>
      </c>
      <c r="E132" s="151" t="s">
        <v>659</v>
      </c>
      <c r="F132" s="123"/>
      <c r="G132" s="123" t="s">
        <v>67</v>
      </c>
      <c r="H132" s="124">
        <v>45842</v>
      </c>
      <c r="I132" s="154">
        <f t="shared" ca="1" si="13"/>
        <v>339</v>
      </c>
      <c r="J132" s="127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5"/>
    </row>
    <row r="133" spans="1:21" ht="39.950000000000003" customHeight="1" thickTop="1" thickBot="1">
      <c r="A133" s="123" t="s">
        <v>27</v>
      </c>
      <c r="B133" s="123" t="s">
        <v>357</v>
      </c>
      <c r="C133" s="155" t="s">
        <v>358</v>
      </c>
      <c r="D133" s="123">
        <v>1</v>
      </c>
      <c r="E133" s="151" t="s">
        <v>659</v>
      </c>
      <c r="F133" s="123"/>
      <c r="G133" s="123" t="s">
        <v>67</v>
      </c>
      <c r="H133" s="124">
        <v>45842</v>
      </c>
      <c r="I133" s="154">
        <f t="shared" ca="1" si="13"/>
        <v>339</v>
      </c>
      <c r="J133" s="127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5"/>
    </row>
    <row r="134" spans="1:21" ht="39.950000000000003" customHeight="1" thickTop="1" thickBot="1">
      <c r="A134" s="123" t="s">
        <v>27</v>
      </c>
      <c r="B134" s="123" t="s">
        <v>360</v>
      </c>
      <c r="C134" s="155" t="s">
        <v>361</v>
      </c>
      <c r="D134" s="123">
        <v>1</v>
      </c>
      <c r="E134" s="151" t="s">
        <v>659</v>
      </c>
      <c r="F134" s="123"/>
      <c r="G134" s="123" t="s">
        <v>67</v>
      </c>
      <c r="H134" s="124">
        <v>45842</v>
      </c>
      <c r="I134" s="154">
        <f t="shared" ca="1" si="13"/>
        <v>339</v>
      </c>
      <c r="J134" s="127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5"/>
    </row>
    <row r="135" spans="1:21" s="169" customFormat="1" ht="39.950000000000003" customHeight="1" thickTop="1" thickBot="1">
      <c r="A135" s="160" t="s">
        <v>27</v>
      </c>
      <c r="B135" s="160" t="s">
        <v>363</v>
      </c>
      <c r="C135" s="159" t="s">
        <v>873</v>
      </c>
      <c r="D135" s="160">
        <v>0</v>
      </c>
      <c r="E135" s="164" t="s">
        <v>659</v>
      </c>
      <c r="F135" s="160"/>
      <c r="G135" s="160" t="s">
        <v>67</v>
      </c>
      <c r="H135" s="165">
        <v>45842</v>
      </c>
      <c r="I135" s="154">
        <f t="shared" ca="1" si="13"/>
        <v>339</v>
      </c>
      <c r="J135" s="127"/>
      <c r="K135" s="123"/>
      <c r="L135" s="123"/>
      <c r="M135" s="123"/>
      <c r="N135" s="123"/>
      <c r="O135" s="123"/>
      <c r="P135" s="123"/>
      <c r="Q135" s="123"/>
      <c r="R135" s="123"/>
      <c r="S135" s="123"/>
      <c r="T135" s="160"/>
      <c r="U135" s="168"/>
    </row>
    <row r="136" spans="1:21" ht="39.950000000000003" customHeight="1" thickTop="1" thickBot="1">
      <c r="A136" s="123" t="s">
        <v>27</v>
      </c>
      <c r="B136" s="123" t="s">
        <v>366</v>
      </c>
      <c r="C136" s="155" t="s">
        <v>367</v>
      </c>
      <c r="D136" s="123">
        <v>1</v>
      </c>
      <c r="E136" s="151" t="s">
        <v>659</v>
      </c>
      <c r="F136" s="123"/>
      <c r="G136" s="123" t="s">
        <v>67</v>
      </c>
      <c r="H136" s="124">
        <v>45842</v>
      </c>
      <c r="I136" s="154">
        <f t="shared" ca="1" si="13"/>
        <v>339</v>
      </c>
      <c r="J136" s="127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5"/>
    </row>
    <row r="137" spans="1:21" ht="39.950000000000003" customHeight="1" thickTop="1" thickBot="1">
      <c r="A137" s="123" t="s">
        <v>27</v>
      </c>
      <c r="B137" s="123" t="s">
        <v>369</v>
      </c>
      <c r="C137" s="159" t="s">
        <v>370</v>
      </c>
      <c r="D137" s="123">
        <v>1</v>
      </c>
      <c r="E137" s="151" t="s">
        <v>659</v>
      </c>
      <c r="F137" s="123"/>
      <c r="G137" s="123" t="s">
        <v>67</v>
      </c>
      <c r="H137" s="124">
        <v>45842</v>
      </c>
      <c r="I137" s="154">
        <f t="shared" ca="1" si="13"/>
        <v>339</v>
      </c>
      <c r="J137" s="127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5"/>
    </row>
    <row r="138" spans="1:21" ht="39.950000000000003" customHeight="1" thickTop="1" thickBot="1">
      <c r="A138" s="123" t="s">
        <v>27</v>
      </c>
      <c r="B138" s="123" t="s">
        <v>728</v>
      </c>
      <c r="C138" s="159" t="s">
        <v>729</v>
      </c>
      <c r="D138" s="123">
        <v>1</v>
      </c>
      <c r="E138" s="151" t="s">
        <v>659</v>
      </c>
      <c r="F138" s="123"/>
      <c r="G138" s="123" t="s">
        <v>67</v>
      </c>
      <c r="H138" s="124">
        <v>45843</v>
      </c>
      <c r="I138" s="154">
        <f t="shared" ca="1" si="13"/>
        <v>340</v>
      </c>
      <c r="J138" s="127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5"/>
    </row>
    <row r="139" spans="1:21" ht="39.950000000000003" customHeight="1" thickTop="1" thickBot="1">
      <c r="A139" s="123" t="s">
        <v>27</v>
      </c>
      <c r="B139" s="123" t="s">
        <v>371</v>
      </c>
      <c r="C139" s="155" t="s">
        <v>372</v>
      </c>
      <c r="D139" s="123">
        <v>1</v>
      </c>
      <c r="E139" s="151" t="s">
        <v>659</v>
      </c>
      <c r="F139" s="123"/>
      <c r="G139" s="123" t="s">
        <v>67</v>
      </c>
      <c r="H139" s="124">
        <v>45843</v>
      </c>
      <c r="I139" s="154">
        <f t="shared" ca="1" si="13"/>
        <v>340</v>
      </c>
      <c r="J139" s="127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5"/>
    </row>
    <row r="140" spans="1:21" ht="39.950000000000003" customHeight="1" thickTop="1" thickBot="1">
      <c r="A140" s="123" t="s">
        <v>27</v>
      </c>
      <c r="B140" s="123" t="s">
        <v>846</v>
      </c>
      <c r="C140" s="155" t="s">
        <v>842</v>
      </c>
      <c r="D140" s="123">
        <v>0</v>
      </c>
      <c r="E140" s="151" t="s">
        <v>659</v>
      </c>
      <c r="F140" s="123"/>
      <c r="G140" s="123" t="s">
        <v>67</v>
      </c>
      <c r="H140" s="124">
        <v>46198</v>
      </c>
      <c r="I140" s="158">
        <f t="shared" ref="I140" ca="1" si="14">IF(OR(H140="****",H140=""),"",H140+(730-TODAY()))</f>
        <v>695</v>
      </c>
      <c r="J140" s="127" t="s">
        <v>664</v>
      </c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5"/>
    </row>
    <row r="141" spans="1:21" ht="39.950000000000003" customHeight="1" thickTop="1" thickBot="1">
      <c r="A141" s="123" t="s">
        <v>27</v>
      </c>
      <c r="B141" s="123" t="s">
        <v>374</v>
      </c>
      <c r="C141" s="155" t="s">
        <v>375</v>
      </c>
      <c r="D141" s="123">
        <v>1</v>
      </c>
      <c r="E141" s="151" t="s">
        <v>659</v>
      </c>
      <c r="F141" s="123"/>
      <c r="G141" s="123" t="s">
        <v>67</v>
      </c>
      <c r="H141" s="124">
        <v>45842</v>
      </c>
      <c r="I141" s="154">
        <f t="shared" ca="1" si="13"/>
        <v>339</v>
      </c>
      <c r="J141" s="127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5"/>
    </row>
    <row r="142" spans="1:21" ht="39.950000000000003" customHeight="1" thickTop="1" thickBot="1">
      <c r="A142" s="123" t="s">
        <v>27</v>
      </c>
      <c r="B142" s="123" t="s">
        <v>377</v>
      </c>
      <c r="C142" s="155" t="s">
        <v>378</v>
      </c>
      <c r="D142" s="123">
        <v>0</v>
      </c>
      <c r="E142" s="151" t="s">
        <v>659</v>
      </c>
      <c r="F142" s="123"/>
      <c r="G142" s="123" t="s">
        <v>67</v>
      </c>
      <c r="H142" s="124">
        <v>45842</v>
      </c>
      <c r="I142" s="154">
        <f t="shared" ca="1" si="13"/>
        <v>339</v>
      </c>
      <c r="J142" s="127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5"/>
    </row>
    <row r="143" spans="1:21" ht="39.950000000000003" customHeight="1" thickTop="1" thickBot="1">
      <c r="A143" s="123" t="s">
        <v>27</v>
      </c>
      <c r="B143" s="123" t="s">
        <v>776</v>
      </c>
      <c r="C143" s="155" t="s">
        <v>392</v>
      </c>
      <c r="D143" s="123">
        <v>0</v>
      </c>
      <c r="E143" s="151" t="s">
        <v>659</v>
      </c>
      <c r="F143" s="123" t="s">
        <v>777</v>
      </c>
      <c r="G143" s="123" t="s">
        <v>67</v>
      </c>
      <c r="H143" s="157">
        <v>46168</v>
      </c>
      <c r="I143" s="154">
        <f t="shared" ca="1" si="13"/>
        <v>666</v>
      </c>
      <c r="J143" s="127" t="s">
        <v>664</v>
      </c>
      <c r="K143" s="123" t="s">
        <v>665</v>
      </c>
      <c r="L143" s="123"/>
      <c r="M143" s="123"/>
      <c r="N143" s="123"/>
      <c r="O143" s="123"/>
      <c r="P143" s="123"/>
      <c r="Q143" s="123"/>
      <c r="R143" s="123"/>
      <c r="S143" s="123"/>
      <c r="T143" s="123"/>
      <c r="U143" s="5"/>
    </row>
    <row r="144" spans="1:21" ht="39.950000000000003" customHeight="1" thickTop="1" thickBot="1">
      <c r="A144" s="123" t="s">
        <v>27</v>
      </c>
      <c r="B144" s="123" t="s">
        <v>380</v>
      </c>
      <c r="C144" s="155" t="s">
        <v>730</v>
      </c>
      <c r="D144" s="123">
        <v>0</v>
      </c>
      <c r="E144" s="151" t="s">
        <v>659</v>
      </c>
      <c r="F144" s="123"/>
      <c r="G144" s="123" t="s">
        <v>67</v>
      </c>
      <c r="H144" s="124">
        <v>45842</v>
      </c>
      <c r="I144" s="154">
        <f t="shared" ca="1" si="13"/>
        <v>339</v>
      </c>
      <c r="J144" s="127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5"/>
    </row>
    <row r="145" spans="1:21" ht="39.950000000000003" customHeight="1" thickTop="1" thickBot="1">
      <c r="A145" s="123" t="s">
        <v>27</v>
      </c>
      <c r="B145" s="123" t="s">
        <v>382</v>
      </c>
      <c r="C145" s="155" t="s">
        <v>383</v>
      </c>
      <c r="D145" s="123">
        <v>1</v>
      </c>
      <c r="E145" s="151" t="s">
        <v>659</v>
      </c>
      <c r="F145" s="123"/>
      <c r="G145" s="123" t="s">
        <v>768</v>
      </c>
      <c r="H145" s="124">
        <v>45842</v>
      </c>
      <c r="I145" s="154">
        <f t="shared" ca="1" si="13"/>
        <v>339</v>
      </c>
      <c r="J145" s="127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5"/>
    </row>
    <row r="146" spans="1:21" ht="44.25" customHeight="1" thickTop="1" thickBot="1">
      <c r="A146" s="123" t="s">
        <v>27</v>
      </c>
      <c r="B146" s="123" t="s">
        <v>386</v>
      </c>
      <c r="C146" s="155" t="s">
        <v>387</v>
      </c>
      <c r="D146" s="123">
        <v>1</v>
      </c>
      <c r="E146" s="151" t="s">
        <v>659</v>
      </c>
      <c r="F146" s="123"/>
      <c r="G146" s="123" t="s">
        <v>768</v>
      </c>
      <c r="H146" s="124">
        <v>45842</v>
      </c>
      <c r="I146" s="154">
        <f t="shared" ca="1" si="13"/>
        <v>339</v>
      </c>
      <c r="J146" s="127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5"/>
    </row>
    <row r="147" spans="1:21" ht="39.950000000000003" customHeight="1" thickTop="1" thickBot="1">
      <c r="A147" s="123" t="s">
        <v>27</v>
      </c>
      <c r="B147" s="123" t="s">
        <v>388</v>
      </c>
      <c r="C147" s="155" t="s">
        <v>389</v>
      </c>
      <c r="D147" s="123">
        <v>3</v>
      </c>
      <c r="E147" s="151" t="s">
        <v>659</v>
      </c>
      <c r="F147" s="123"/>
      <c r="G147" s="123" t="s">
        <v>67</v>
      </c>
      <c r="H147" s="124">
        <v>45842</v>
      </c>
      <c r="I147" s="154">
        <f t="shared" ca="1" si="13"/>
        <v>339</v>
      </c>
      <c r="J147" s="127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5"/>
    </row>
    <row r="148" spans="1:21" ht="39.950000000000003" customHeight="1" thickTop="1" thickBot="1">
      <c r="A148" s="123" t="s">
        <v>27</v>
      </c>
      <c r="B148" s="123" t="s">
        <v>731</v>
      </c>
      <c r="C148" s="155" t="s">
        <v>732</v>
      </c>
      <c r="D148" s="123">
        <v>1</v>
      </c>
      <c r="E148" s="151" t="s">
        <v>659</v>
      </c>
      <c r="F148" s="123"/>
      <c r="G148" s="123" t="s">
        <v>67</v>
      </c>
      <c r="H148" s="124">
        <v>45842</v>
      </c>
      <c r="I148" s="154">
        <f t="shared" ca="1" si="13"/>
        <v>339</v>
      </c>
      <c r="J148" s="127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5"/>
    </row>
    <row r="149" spans="1:21" ht="39.950000000000003" customHeight="1" thickTop="1" thickBot="1">
      <c r="A149" s="123" t="s">
        <v>27</v>
      </c>
      <c r="B149" s="123" t="s">
        <v>733</v>
      </c>
      <c r="C149" s="155" t="s">
        <v>734</v>
      </c>
      <c r="D149" s="123">
        <v>1</v>
      </c>
      <c r="E149" s="151" t="s">
        <v>659</v>
      </c>
      <c r="F149" s="123"/>
      <c r="G149" s="123" t="s">
        <v>67</v>
      </c>
      <c r="H149" s="124">
        <v>45842</v>
      </c>
      <c r="I149" s="154">
        <f t="shared" ca="1" si="13"/>
        <v>339</v>
      </c>
      <c r="J149" s="127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5"/>
    </row>
    <row r="150" spans="1:21" ht="39.950000000000003" customHeight="1" thickTop="1" thickBot="1">
      <c r="A150" s="123" t="s">
        <v>27</v>
      </c>
      <c r="B150" s="123" t="s">
        <v>735</v>
      </c>
      <c r="C150" s="155" t="s">
        <v>821</v>
      </c>
      <c r="D150" s="123">
        <v>0</v>
      </c>
      <c r="E150" s="151" t="s">
        <v>659</v>
      </c>
      <c r="F150" s="123"/>
      <c r="G150" s="123" t="s">
        <v>67</v>
      </c>
      <c r="H150" s="124">
        <v>45999</v>
      </c>
      <c r="I150" s="154">
        <f t="shared" ca="1" si="13"/>
        <v>496</v>
      </c>
      <c r="J150" s="127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5"/>
    </row>
    <row r="151" spans="1:21" ht="39.950000000000003" customHeight="1" thickTop="1" thickBot="1">
      <c r="A151" s="123" t="s">
        <v>27</v>
      </c>
      <c r="B151" s="123" t="s">
        <v>736</v>
      </c>
      <c r="C151" s="155" t="s">
        <v>822</v>
      </c>
      <c r="D151" s="123">
        <v>0</v>
      </c>
      <c r="E151" s="151" t="s">
        <v>659</v>
      </c>
      <c r="F151" s="123"/>
      <c r="G151" s="123" t="s">
        <v>67</v>
      </c>
      <c r="H151" s="124">
        <v>45999</v>
      </c>
      <c r="I151" s="154">
        <f t="shared" ca="1" si="13"/>
        <v>496</v>
      </c>
      <c r="J151" s="127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5"/>
    </row>
    <row r="152" spans="1:21" ht="39.950000000000003" customHeight="1" thickTop="1" thickBot="1">
      <c r="A152" s="123" t="s">
        <v>27</v>
      </c>
      <c r="B152" s="123" t="s">
        <v>737</v>
      </c>
      <c r="C152" s="155" t="s">
        <v>823</v>
      </c>
      <c r="D152" s="123">
        <v>1</v>
      </c>
      <c r="E152" s="151" t="s">
        <v>659</v>
      </c>
      <c r="F152" s="123"/>
      <c r="G152" s="123" t="s">
        <v>67</v>
      </c>
      <c r="H152" s="124">
        <v>46010</v>
      </c>
      <c r="I152" s="154">
        <f t="shared" ca="1" si="13"/>
        <v>507</v>
      </c>
      <c r="J152" s="127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5"/>
    </row>
    <row r="153" spans="1:21" ht="39.950000000000003" customHeight="1" thickTop="1" thickBot="1">
      <c r="A153" s="123" t="s">
        <v>27</v>
      </c>
      <c r="B153" s="123" t="s">
        <v>738</v>
      </c>
      <c r="C153" s="155" t="s">
        <v>819</v>
      </c>
      <c r="D153" s="123">
        <v>0</v>
      </c>
      <c r="E153" s="151" t="s">
        <v>659</v>
      </c>
      <c r="F153" s="123"/>
      <c r="G153" s="123" t="s">
        <v>67</v>
      </c>
      <c r="H153" s="124">
        <v>45999</v>
      </c>
      <c r="I153" s="154">
        <f t="shared" ca="1" si="13"/>
        <v>496</v>
      </c>
      <c r="J153" s="127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5"/>
    </row>
    <row r="154" spans="1:21" ht="39.950000000000003" customHeight="1" thickTop="1" thickBot="1">
      <c r="A154" s="123" t="s">
        <v>27</v>
      </c>
      <c r="B154" s="123" t="s">
        <v>739</v>
      </c>
      <c r="C154" s="155" t="s">
        <v>820</v>
      </c>
      <c r="D154" s="123">
        <v>1</v>
      </c>
      <c r="E154" s="151" t="s">
        <v>659</v>
      </c>
      <c r="F154" s="123"/>
      <c r="G154" s="123" t="s">
        <v>67</v>
      </c>
      <c r="H154" s="124">
        <v>45999</v>
      </c>
      <c r="I154" s="154">
        <f t="shared" ca="1" si="13"/>
        <v>496</v>
      </c>
      <c r="J154" s="127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5"/>
    </row>
    <row r="155" spans="1:21" ht="39.950000000000003" customHeight="1" thickTop="1" thickBot="1">
      <c r="A155" s="123" t="s">
        <v>27</v>
      </c>
      <c r="B155" s="123" t="s">
        <v>442</v>
      </c>
      <c r="C155" s="155" t="s">
        <v>740</v>
      </c>
      <c r="D155" s="123">
        <v>6</v>
      </c>
      <c r="E155" s="151" t="s">
        <v>659</v>
      </c>
      <c r="F155" s="123"/>
      <c r="G155" s="123" t="s">
        <v>16</v>
      </c>
      <c r="H155" s="124">
        <v>46192</v>
      </c>
      <c r="I155" s="154">
        <f t="shared" ca="1" si="13"/>
        <v>690</v>
      </c>
      <c r="J155" s="127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5"/>
    </row>
    <row r="156" spans="1:21" ht="39.950000000000003" customHeight="1" thickTop="1" thickBot="1">
      <c r="A156" s="123" t="s">
        <v>27</v>
      </c>
      <c r="B156" s="123" t="s">
        <v>445</v>
      </c>
      <c r="C156" s="155" t="s">
        <v>848</v>
      </c>
      <c r="D156" s="123">
        <v>4</v>
      </c>
      <c r="E156" s="151" t="s">
        <v>659</v>
      </c>
      <c r="F156" s="123"/>
      <c r="G156" s="123" t="s">
        <v>448</v>
      </c>
      <c r="H156" s="124">
        <v>46202</v>
      </c>
      <c r="I156" s="154">
        <f t="shared" ca="1" si="13"/>
        <v>700</v>
      </c>
      <c r="J156" s="127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5"/>
    </row>
    <row r="157" spans="1:21" ht="39.950000000000003" customHeight="1" thickTop="1" thickBot="1">
      <c r="A157" s="123" t="s">
        <v>27</v>
      </c>
      <c r="B157" s="123" t="s">
        <v>449</v>
      </c>
      <c r="C157" s="155" t="s">
        <v>450</v>
      </c>
      <c r="D157" s="123">
        <v>0</v>
      </c>
      <c r="E157" s="151" t="s">
        <v>659</v>
      </c>
      <c r="F157" s="123"/>
      <c r="G157" s="123" t="s">
        <v>67</v>
      </c>
      <c r="H157" s="124">
        <v>45845</v>
      </c>
      <c r="I157" s="154">
        <f t="shared" ca="1" si="13"/>
        <v>342</v>
      </c>
      <c r="J157" s="127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5"/>
    </row>
    <row r="158" spans="1:21" ht="39.950000000000003" customHeight="1" thickTop="1" thickBot="1">
      <c r="A158" s="123" t="s">
        <v>27</v>
      </c>
      <c r="B158" s="123" t="s">
        <v>878</v>
      </c>
      <c r="C158" s="155" t="s">
        <v>879</v>
      </c>
      <c r="D158" s="123">
        <v>0</v>
      </c>
      <c r="E158" s="151" t="s">
        <v>659</v>
      </c>
      <c r="F158" s="123"/>
      <c r="G158" s="123" t="s">
        <v>880</v>
      </c>
      <c r="H158" s="124">
        <v>46231</v>
      </c>
      <c r="I158" s="154">
        <f t="shared" ca="1" si="13"/>
        <v>729</v>
      </c>
      <c r="J158" s="127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5"/>
    </row>
    <row r="159" spans="1:21" ht="39.950000000000003" customHeight="1" thickTop="1" thickBot="1">
      <c r="A159" s="123" t="s">
        <v>27</v>
      </c>
      <c r="B159" s="123" t="s">
        <v>451</v>
      </c>
      <c r="C159" s="155" t="s">
        <v>798</v>
      </c>
      <c r="D159" s="123">
        <v>1</v>
      </c>
      <c r="E159" s="151" t="s">
        <v>659</v>
      </c>
      <c r="F159" s="123"/>
      <c r="G159" s="123" t="s">
        <v>810</v>
      </c>
      <c r="H159" s="124">
        <v>45845</v>
      </c>
      <c r="I159" s="154">
        <f t="shared" ca="1" si="13"/>
        <v>342</v>
      </c>
      <c r="J159" s="127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5"/>
    </row>
    <row r="160" spans="1:21" ht="39.950000000000003" customHeight="1" thickTop="1" thickBot="1">
      <c r="A160" s="123" t="s">
        <v>27</v>
      </c>
      <c r="B160" s="123" t="s">
        <v>455</v>
      </c>
      <c r="C160" s="155" t="s">
        <v>456</v>
      </c>
      <c r="D160" s="123"/>
      <c r="E160" s="151" t="s">
        <v>326</v>
      </c>
      <c r="F160" s="123"/>
      <c r="G160" s="123"/>
      <c r="H160" s="124"/>
      <c r="I160" s="154" t="str">
        <f ca="1">IF(H160="","",DATE(YEAR(H160)+2,MONTH(H160),DAY(H160))-TODAY())</f>
        <v/>
      </c>
      <c r="J160" s="127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5"/>
    </row>
    <row r="161" spans="1:21" ht="39.950000000000003" customHeight="1" thickTop="1" thickBot="1">
      <c r="A161" s="123" t="s">
        <v>27</v>
      </c>
      <c r="B161" s="123" t="s">
        <v>457</v>
      </c>
      <c r="C161" s="155" t="s">
        <v>458</v>
      </c>
      <c r="D161" s="123">
        <v>1</v>
      </c>
      <c r="E161" s="151" t="s">
        <v>659</v>
      </c>
      <c r="F161" s="123"/>
      <c r="G161" s="123" t="s">
        <v>126</v>
      </c>
      <c r="H161" s="124">
        <v>45845</v>
      </c>
      <c r="I161" s="154">
        <f t="shared" ref="I161:I178" ca="1" si="15">IF(H161="","",DATE(YEAR(H161)+2,MONTH(H161),DAY(H161))-TODAY())</f>
        <v>342</v>
      </c>
      <c r="J161" s="127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5"/>
    </row>
    <row r="162" spans="1:21" ht="39.950000000000003" customHeight="1" thickTop="1" thickBot="1">
      <c r="A162" s="123" t="s">
        <v>27</v>
      </c>
      <c r="B162" s="123" t="s">
        <v>461</v>
      </c>
      <c r="C162" s="155" t="s">
        <v>807</v>
      </c>
      <c r="D162" s="123">
        <v>1</v>
      </c>
      <c r="E162" s="151" t="s">
        <v>659</v>
      </c>
      <c r="F162" s="123"/>
      <c r="G162" s="123" t="s">
        <v>126</v>
      </c>
      <c r="H162" s="124">
        <v>45845</v>
      </c>
      <c r="I162" s="154">
        <f t="shared" ca="1" si="15"/>
        <v>342</v>
      </c>
      <c r="J162" s="127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5"/>
    </row>
    <row r="163" spans="1:21" ht="39.950000000000003" customHeight="1" thickTop="1" thickBot="1">
      <c r="A163" s="123" t="s">
        <v>27</v>
      </c>
      <c r="B163" s="123" t="s">
        <v>467</v>
      </c>
      <c r="C163" s="155" t="s">
        <v>468</v>
      </c>
      <c r="D163" s="123">
        <v>4</v>
      </c>
      <c r="E163" s="151" t="s">
        <v>659</v>
      </c>
      <c r="F163" s="123"/>
      <c r="G163" s="123" t="s">
        <v>33</v>
      </c>
      <c r="H163" s="124">
        <v>46140</v>
      </c>
      <c r="I163" s="154">
        <f t="shared" ca="1" si="15"/>
        <v>638</v>
      </c>
      <c r="J163" s="127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5"/>
    </row>
    <row r="164" spans="1:21" ht="39.950000000000003" customHeight="1" thickTop="1" thickBot="1">
      <c r="A164" s="123" t="s">
        <v>27</v>
      </c>
      <c r="B164" s="123" t="s">
        <v>469</v>
      </c>
      <c r="C164" s="155" t="s">
        <v>470</v>
      </c>
      <c r="D164" s="123">
        <v>1</v>
      </c>
      <c r="E164" s="151" t="s">
        <v>659</v>
      </c>
      <c r="F164" s="123"/>
      <c r="G164" s="123" t="s">
        <v>33</v>
      </c>
      <c r="H164" s="124">
        <v>45845</v>
      </c>
      <c r="I164" s="154">
        <f t="shared" ca="1" si="15"/>
        <v>342</v>
      </c>
      <c r="J164" s="127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5"/>
    </row>
    <row r="165" spans="1:21" ht="39.950000000000003" customHeight="1" thickTop="1" thickBot="1">
      <c r="A165" s="123" t="s">
        <v>27</v>
      </c>
      <c r="B165" s="123" t="s">
        <v>473</v>
      </c>
      <c r="C165" s="155" t="s">
        <v>788</v>
      </c>
      <c r="D165" s="123">
        <v>3</v>
      </c>
      <c r="E165" s="151" t="s">
        <v>659</v>
      </c>
      <c r="F165" s="123"/>
      <c r="G165" s="123" t="s">
        <v>16</v>
      </c>
      <c r="H165" s="124">
        <v>46209</v>
      </c>
      <c r="I165" s="154">
        <f t="shared" ca="1" si="15"/>
        <v>707</v>
      </c>
      <c r="J165" s="127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5"/>
    </row>
    <row r="166" spans="1:21" ht="39.950000000000003" customHeight="1" thickTop="1" thickBot="1">
      <c r="A166" s="123" t="s">
        <v>27</v>
      </c>
      <c r="B166" s="123" t="s">
        <v>475</v>
      </c>
      <c r="C166" s="155" t="s">
        <v>476</v>
      </c>
      <c r="D166" s="123"/>
      <c r="E166" s="151" t="s">
        <v>326</v>
      </c>
      <c r="F166" s="123"/>
      <c r="G166" s="123"/>
      <c r="H166" s="124"/>
      <c r="I166" s="154" t="str">
        <f ca="1">IF(H166="","",DATE(YEAR(H166)+2,MONTH(H166),DAY(H166))-TODAY())</f>
        <v/>
      </c>
      <c r="J166" s="127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5"/>
    </row>
    <row r="167" spans="1:21" ht="39.950000000000003" customHeight="1" thickTop="1" thickBot="1">
      <c r="A167" s="123" t="s">
        <v>27</v>
      </c>
      <c r="B167" s="123" t="s">
        <v>477</v>
      </c>
      <c r="C167" s="155" t="s">
        <v>478</v>
      </c>
      <c r="D167" s="123">
        <v>2</v>
      </c>
      <c r="E167" s="151" t="s">
        <v>659</v>
      </c>
      <c r="F167" s="123"/>
      <c r="G167" s="123" t="s">
        <v>16</v>
      </c>
      <c r="H167" s="124">
        <v>46146</v>
      </c>
      <c r="I167" s="154">
        <f t="shared" ca="1" si="15"/>
        <v>644</v>
      </c>
      <c r="J167" s="127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5"/>
    </row>
    <row r="168" spans="1:21" ht="39.950000000000003" customHeight="1" thickTop="1" thickBot="1">
      <c r="A168" s="123" t="s">
        <v>27</v>
      </c>
      <c r="B168" s="123" t="s">
        <v>479</v>
      </c>
      <c r="C168" s="155" t="s">
        <v>790</v>
      </c>
      <c r="D168" s="123">
        <v>2</v>
      </c>
      <c r="E168" s="151" t="s">
        <v>659</v>
      </c>
      <c r="F168" s="123"/>
      <c r="G168" s="123" t="s">
        <v>16</v>
      </c>
      <c r="H168" s="124">
        <v>46129</v>
      </c>
      <c r="I168" s="154">
        <f t="shared" ca="1" si="15"/>
        <v>627</v>
      </c>
      <c r="J168" s="127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5"/>
    </row>
    <row r="169" spans="1:21" ht="39.950000000000003" customHeight="1" thickTop="1" thickBot="1">
      <c r="A169" s="123" t="s">
        <v>27</v>
      </c>
      <c r="B169" s="123" t="s">
        <v>741</v>
      </c>
      <c r="C169" s="155" t="s">
        <v>742</v>
      </c>
      <c r="D169" s="123">
        <v>0</v>
      </c>
      <c r="E169" s="151" t="s">
        <v>659</v>
      </c>
      <c r="F169" s="123"/>
      <c r="G169" s="123" t="s">
        <v>16</v>
      </c>
      <c r="H169" s="124">
        <v>46128</v>
      </c>
      <c r="I169" s="154">
        <f t="shared" ca="1" si="15"/>
        <v>626</v>
      </c>
      <c r="J169" s="127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5"/>
    </row>
    <row r="170" spans="1:21" ht="39.950000000000003" customHeight="1" thickTop="1" thickBot="1">
      <c r="A170" s="123" t="s">
        <v>27</v>
      </c>
      <c r="B170" s="123" t="s">
        <v>743</v>
      </c>
      <c r="C170" s="155" t="s">
        <v>744</v>
      </c>
      <c r="D170" s="123">
        <v>0</v>
      </c>
      <c r="E170" s="151" t="s">
        <v>659</v>
      </c>
      <c r="F170" s="123"/>
      <c r="G170" s="123" t="s">
        <v>16</v>
      </c>
      <c r="H170" s="124">
        <v>46134</v>
      </c>
      <c r="I170" s="154">
        <f t="shared" ca="1" si="15"/>
        <v>632</v>
      </c>
      <c r="J170" s="127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5"/>
    </row>
    <row r="171" spans="1:21" ht="39.950000000000003" customHeight="1" thickTop="1" thickBot="1">
      <c r="A171" s="123" t="s">
        <v>27</v>
      </c>
      <c r="B171" s="123" t="s">
        <v>785</v>
      </c>
      <c r="C171" s="155" t="s">
        <v>782</v>
      </c>
      <c r="D171" s="123">
        <v>1</v>
      </c>
      <c r="E171" s="151" t="s">
        <v>659</v>
      </c>
      <c r="F171" s="123" t="s">
        <v>808</v>
      </c>
      <c r="G171" s="123" t="s">
        <v>126</v>
      </c>
      <c r="H171" s="124">
        <v>45845</v>
      </c>
      <c r="I171" s="154">
        <f t="shared" ca="1" si="15"/>
        <v>342</v>
      </c>
      <c r="J171" s="127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5"/>
    </row>
    <row r="172" spans="1:21" ht="39.950000000000003" customHeight="1" thickTop="1" thickBot="1">
      <c r="A172" s="128" t="s">
        <v>27</v>
      </c>
      <c r="B172" s="128" t="s">
        <v>784</v>
      </c>
      <c r="C172" s="155" t="s">
        <v>783</v>
      </c>
      <c r="D172" s="129">
        <v>0</v>
      </c>
      <c r="E172" s="151" t="s">
        <v>660</v>
      </c>
      <c r="F172" s="123" t="s">
        <v>808</v>
      </c>
      <c r="G172" s="123" t="s">
        <v>126</v>
      </c>
      <c r="H172" s="130">
        <v>45845</v>
      </c>
      <c r="I172" s="154">
        <f t="shared" ca="1" si="15"/>
        <v>342</v>
      </c>
      <c r="J172" s="127"/>
      <c r="K172" s="127"/>
      <c r="L172" s="123"/>
      <c r="M172" s="123"/>
      <c r="N172" s="123"/>
      <c r="O172" s="123"/>
      <c r="P172" s="123"/>
      <c r="Q172" s="123"/>
      <c r="R172" s="123"/>
      <c r="S172" s="123"/>
      <c r="T172" s="123"/>
      <c r="U172" s="5"/>
    </row>
    <row r="173" spans="1:21" ht="39.950000000000003" customHeight="1" thickTop="1" thickBot="1">
      <c r="A173" s="128" t="s">
        <v>27</v>
      </c>
      <c r="B173" s="128" t="s">
        <v>745</v>
      </c>
      <c r="C173" s="155" t="s">
        <v>746</v>
      </c>
      <c r="D173" s="129" t="s">
        <v>779</v>
      </c>
      <c r="E173" s="151" t="s">
        <v>659</v>
      </c>
      <c r="F173" s="123"/>
      <c r="G173" s="123" t="s">
        <v>883</v>
      </c>
      <c r="H173" s="130">
        <v>46233</v>
      </c>
      <c r="I173" s="154">
        <f ca="1">IF(H173="","",DATE(YEAR(H173)+2,MONTH(H173),DAY(H173))-TODAY())</f>
        <v>731</v>
      </c>
      <c r="J173" s="127"/>
      <c r="K173" s="127"/>
      <c r="L173" s="123"/>
      <c r="M173" s="123"/>
      <c r="N173" s="123"/>
      <c r="O173" s="123"/>
      <c r="P173" s="123"/>
      <c r="Q173" s="123"/>
      <c r="R173" s="123"/>
      <c r="S173" s="123"/>
      <c r="T173" s="123"/>
      <c r="U173" s="5"/>
    </row>
    <row r="174" spans="1:21" ht="39.950000000000003" customHeight="1" thickTop="1" thickBot="1">
      <c r="A174" s="123" t="s">
        <v>27</v>
      </c>
      <c r="B174" s="123" t="s">
        <v>747</v>
      </c>
      <c r="C174" s="155" t="s">
        <v>795</v>
      </c>
      <c r="D174" s="123">
        <v>0</v>
      </c>
      <c r="E174" s="151" t="s">
        <v>659</v>
      </c>
      <c r="F174" s="123" t="s">
        <v>809</v>
      </c>
      <c r="G174" s="123" t="s">
        <v>126</v>
      </c>
      <c r="H174" s="124">
        <v>46153</v>
      </c>
      <c r="I174" s="154">
        <f t="shared" ca="1" si="15"/>
        <v>651</v>
      </c>
      <c r="J174" s="127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5"/>
    </row>
    <row r="175" spans="1:21" ht="39.950000000000003" customHeight="1" thickTop="1" thickBot="1">
      <c r="A175" s="123" t="s">
        <v>27</v>
      </c>
      <c r="B175" s="123" t="s">
        <v>780</v>
      </c>
      <c r="C175" s="155" t="s">
        <v>781</v>
      </c>
      <c r="D175" s="123">
        <v>0</v>
      </c>
      <c r="E175" s="151" t="s">
        <v>659</v>
      </c>
      <c r="F175" s="123" t="s">
        <v>809</v>
      </c>
      <c r="G175" s="123" t="s">
        <v>126</v>
      </c>
      <c r="H175" s="124">
        <v>46160</v>
      </c>
      <c r="I175" s="154">
        <f t="shared" ref="I175" ca="1" si="16">IF(H175="","",DATE(YEAR(H175)+2,MONTH(H175),DAY(H175))-TODAY())</f>
        <v>658</v>
      </c>
      <c r="J175" s="127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5"/>
    </row>
    <row r="176" spans="1:21" ht="39.950000000000003" customHeight="1" thickTop="1" thickBot="1">
      <c r="A176" s="123" t="s">
        <v>27</v>
      </c>
      <c r="B176" s="123" t="s">
        <v>850</v>
      </c>
      <c r="C176" s="155" t="s">
        <v>851</v>
      </c>
      <c r="D176" s="123">
        <v>1</v>
      </c>
      <c r="E176" s="151" t="s">
        <v>659</v>
      </c>
      <c r="F176" s="123"/>
      <c r="G176" s="123" t="s">
        <v>126</v>
      </c>
      <c r="H176" s="124">
        <v>46216</v>
      </c>
      <c r="I176" s="154">
        <f t="shared" ref="I176" ca="1" si="17">IF(H176="","",DATE(YEAR(H176)+2,MONTH(H176),DAY(H176))-TODAY())</f>
        <v>714</v>
      </c>
      <c r="J176" s="127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5"/>
    </row>
    <row r="177" spans="1:21" ht="39.950000000000003" customHeight="1" thickTop="1" thickBot="1">
      <c r="A177" s="123" t="s">
        <v>27</v>
      </c>
      <c r="B177" s="123" t="s">
        <v>881</v>
      </c>
      <c r="C177" s="155" t="s">
        <v>882</v>
      </c>
      <c r="D177" s="123">
        <v>1</v>
      </c>
      <c r="E177" s="151" t="s">
        <v>659</v>
      </c>
      <c r="F177" s="123"/>
      <c r="G177" s="123" t="s">
        <v>883</v>
      </c>
      <c r="H177" s="124">
        <v>46231</v>
      </c>
      <c r="I177" s="158">
        <f t="shared" ref="I177" ca="1" si="18">IF(OR(H177="****",H177=""),"",H177+(730-TODAY()))</f>
        <v>728</v>
      </c>
      <c r="J177" s="127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5"/>
    </row>
    <row r="178" spans="1:21" ht="39.950000000000003" customHeight="1" thickTop="1" thickBot="1">
      <c r="A178" s="123" t="s">
        <v>684</v>
      </c>
      <c r="B178" s="123">
        <v>1</v>
      </c>
      <c r="C178" s="155" t="s">
        <v>800</v>
      </c>
      <c r="D178" s="123">
        <v>1</v>
      </c>
      <c r="E178" s="151" t="s">
        <v>660</v>
      </c>
      <c r="F178" s="123"/>
      <c r="G178" s="123" t="s">
        <v>126</v>
      </c>
      <c r="H178" s="124">
        <v>45845</v>
      </c>
      <c r="I178" s="154">
        <f t="shared" ca="1" si="15"/>
        <v>342</v>
      </c>
      <c r="J178" s="127" t="s">
        <v>664</v>
      </c>
      <c r="K178" s="123" t="s">
        <v>664</v>
      </c>
      <c r="L178" s="123"/>
      <c r="M178" s="123"/>
      <c r="N178" s="123"/>
      <c r="O178" s="123"/>
      <c r="P178" s="123"/>
      <c r="Q178" s="123"/>
      <c r="R178" s="123"/>
      <c r="S178" s="123"/>
      <c r="T178" s="123"/>
      <c r="U178" s="5"/>
    </row>
    <row r="179" spans="1:21" ht="39.950000000000003" customHeight="1" thickTop="1" thickBot="1">
      <c r="A179" s="123" t="s">
        <v>684</v>
      </c>
      <c r="B179" s="123">
        <v>2</v>
      </c>
      <c r="C179" s="155" t="s">
        <v>746</v>
      </c>
      <c r="D179" s="123"/>
      <c r="E179" s="151" t="s">
        <v>326</v>
      </c>
      <c r="F179" s="123"/>
      <c r="G179" s="123"/>
      <c r="H179" s="124"/>
      <c r="I179" s="154" t="str">
        <f ca="1">IF(H179="","",DATE(YEAR(H179)+2,MONTH(H179),DAY(H179))-TODAY())</f>
        <v/>
      </c>
      <c r="J179" s="127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5"/>
    </row>
    <row r="180" spans="1:21" ht="39.950000000000003" customHeight="1" thickTop="1" thickBot="1">
      <c r="A180" s="123" t="s">
        <v>684</v>
      </c>
      <c r="B180" s="123">
        <v>3</v>
      </c>
      <c r="C180" s="155" t="s">
        <v>801</v>
      </c>
      <c r="D180" s="123">
        <v>2</v>
      </c>
      <c r="E180" s="151" t="s">
        <v>659</v>
      </c>
      <c r="F180" s="123"/>
      <c r="G180" s="123" t="s">
        <v>126</v>
      </c>
      <c r="H180" s="124">
        <v>46160</v>
      </c>
      <c r="I180" s="154">
        <f t="shared" ref="I180:I183" ca="1" si="19">IF(H180="","",DATE(YEAR(H180)+2,MONTH(H180),DAY(H180))-TODAY())</f>
        <v>658</v>
      </c>
      <c r="J180" s="127" t="s">
        <v>664</v>
      </c>
      <c r="K180" s="123" t="s">
        <v>664</v>
      </c>
      <c r="L180" s="123"/>
      <c r="M180" s="123"/>
      <c r="N180" s="123"/>
      <c r="O180" s="123"/>
      <c r="P180" s="123"/>
      <c r="Q180" s="123"/>
      <c r="R180" s="123"/>
      <c r="S180" s="123"/>
      <c r="T180" s="123"/>
      <c r="U180" s="5"/>
    </row>
    <row r="181" spans="1:21" ht="39.950000000000003" customHeight="1" thickTop="1" thickBot="1">
      <c r="A181" s="123" t="s">
        <v>37</v>
      </c>
      <c r="B181" s="123">
        <v>1</v>
      </c>
      <c r="C181" s="155" t="s">
        <v>431</v>
      </c>
      <c r="D181" s="123">
        <v>1</v>
      </c>
      <c r="E181" s="151" t="s">
        <v>659</v>
      </c>
      <c r="F181" s="123"/>
      <c r="G181" s="123" t="s">
        <v>415</v>
      </c>
      <c r="H181" s="124">
        <v>45811</v>
      </c>
      <c r="I181" s="154">
        <f t="shared" ca="1" si="19"/>
        <v>308</v>
      </c>
      <c r="J181" s="127" t="s">
        <v>664</v>
      </c>
      <c r="K181" s="123" t="s">
        <v>664</v>
      </c>
      <c r="L181" s="123"/>
      <c r="M181" s="123"/>
      <c r="N181" s="123"/>
      <c r="O181" s="123"/>
      <c r="P181" s="123"/>
      <c r="Q181" s="123"/>
      <c r="R181" s="123"/>
      <c r="S181" s="123"/>
      <c r="T181" s="123"/>
      <c r="U181" s="5"/>
    </row>
    <row r="182" spans="1:21" ht="39.950000000000003" customHeight="1" thickTop="1" thickBot="1">
      <c r="A182" s="123" t="s">
        <v>37</v>
      </c>
      <c r="B182" s="123">
        <v>2</v>
      </c>
      <c r="C182" s="155" t="s">
        <v>433</v>
      </c>
      <c r="D182" s="123">
        <v>1</v>
      </c>
      <c r="E182" s="151" t="s">
        <v>659</v>
      </c>
      <c r="F182" s="123"/>
      <c r="G182" s="123" t="s">
        <v>415</v>
      </c>
      <c r="H182" s="124">
        <v>45811</v>
      </c>
      <c r="I182" s="154">
        <f t="shared" ca="1" si="19"/>
        <v>308</v>
      </c>
      <c r="J182" s="127" t="s">
        <v>664</v>
      </c>
      <c r="K182" s="123" t="s">
        <v>664</v>
      </c>
      <c r="L182" s="123"/>
      <c r="M182" s="123"/>
      <c r="N182" s="123"/>
      <c r="O182" s="123"/>
      <c r="P182" s="123"/>
      <c r="Q182" s="123"/>
      <c r="R182" s="123"/>
      <c r="S182" s="123"/>
      <c r="T182" s="123"/>
      <c r="U182" s="5"/>
    </row>
    <row r="183" spans="1:21" ht="39.950000000000003" customHeight="1" thickTop="1" thickBot="1">
      <c r="A183" s="123" t="s">
        <v>37</v>
      </c>
      <c r="B183" s="123">
        <v>3</v>
      </c>
      <c r="C183" s="155" t="s">
        <v>435</v>
      </c>
      <c r="D183" s="132">
        <v>2</v>
      </c>
      <c r="E183" s="151" t="s">
        <v>659</v>
      </c>
      <c r="F183" s="123"/>
      <c r="G183" s="123" t="s">
        <v>415</v>
      </c>
      <c r="H183" s="130">
        <v>45842</v>
      </c>
      <c r="I183" s="154">
        <f t="shared" ca="1" si="19"/>
        <v>339</v>
      </c>
      <c r="J183" s="127" t="s">
        <v>664</v>
      </c>
      <c r="K183" s="123" t="s">
        <v>664</v>
      </c>
      <c r="L183" s="123"/>
      <c r="M183" s="123"/>
      <c r="N183" s="123"/>
      <c r="O183" s="123"/>
      <c r="P183" s="128"/>
      <c r="Q183" s="123"/>
      <c r="R183" s="123"/>
      <c r="S183" s="123"/>
      <c r="T183" s="123"/>
      <c r="U183" s="5"/>
    </row>
    <row r="184" spans="1:21" ht="39.950000000000003" customHeight="1" thickTop="1" thickBot="1">
      <c r="A184" s="123" t="s">
        <v>37</v>
      </c>
      <c r="B184" s="123">
        <v>4</v>
      </c>
      <c r="C184" s="155" t="s">
        <v>436</v>
      </c>
      <c r="D184" s="123"/>
      <c r="E184" s="151" t="s">
        <v>326</v>
      </c>
      <c r="F184" s="123"/>
      <c r="G184" s="123"/>
      <c r="H184" s="124"/>
      <c r="I184" s="154" t="str">
        <f ca="1">IF(H184="","",DATE(YEAR(H184)+2,MONTH(H184),DAY(H184))-TODAY())</f>
        <v/>
      </c>
      <c r="J184" s="127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5"/>
    </row>
    <row r="185" spans="1:21" ht="39.950000000000003" customHeight="1" thickTop="1" thickBot="1">
      <c r="A185" s="123" t="s">
        <v>37</v>
      </c>
      <c r="B185" s="123">
        <v>6</v>
      </c>
      <c r="C185" s="155" t="s">
        <v>437</v>
      </c>
      <c r="D185" s="123">
        <v>1</v>
      </c>
      <c r="E185" s="151" t="s">
        <v>659</v>
      </c>
      <c r="F185" s="123"/>
      <c r="G185" s="123" t="s">
        <v>415</v>
      </c>
      <c r="H185" s="124">
        <v>45845</v>
      </c>
      <c r="I185" s="154">
        <f t="shared" ref="I185:I192" ca="1" si="20">IF(H185="","",DATE(YEAR(H185)+2,MONTH(H185),DAY(H185))-TODAY())</f>
        <v>342</v>
      </c>
      <c r="J185" s="127" t="s">
        <v>664</v>
      </c>
      <c r="K185" s="123" t="s">
        <v>664</v>
      </c>
      <c r="L185" s="123"/>
      <c r="M185" s="123"/>
      <c r="N185" s="123"/>
      <c r="O185" s="123"/>
      <c r="P185" s="123"/>
      <c r="Q185" s="123"/>
      <c r="R185" s="123"/>
      <c r="S185" s="123"/>
      <c r="T185" s="123"/>
      <c r="U185" s="5"/>
    </row>
    <row r="186" spans="1:21" ht="39.950000000000003" customHeight="1" thickTop="1" thickBot="1">
      <c r="A186" s="123" t="s">
        <v>37</v>
      </c>
      <c r="B186" s="123">
        <v>7</v>
      </c>
      <c r="C186" s="155" t="s">
        <v>439</v>
      </c>
      <c r="D186" s="123">
        <v>1</v>
      </c>
      <c r="E186" s="151" t="s">
        <v>659</v>
      </c>
      <c r="F186" s="123"/>
      <c r="G186" s="123" t="s">
        <v>415</v>
      </c>
      <c r="H186" s="124">
        <v>45845</v>
      </c>
      <c r="I186" s="154">
        <f t="shared" ca="1" si="20"/>
        <v>342</v>
      </c>
      <c r="J186" s="127" t="s">
        <v>664</v>
      </c>
      <c r="K186" s="123" t="s">
        <v>664</v>
      </c>
      <c r="L186" s="123"/>
      <c r="M186" s="123"/>
      <c r="N186" s="123"/>
      <c r="O186" s="123"/>
      <c r="P186" s="123"/>
      <c r="Q186" s="123"/>
      <c r="R186" s="123"/>
      <c r="S186" s="123"/>
      <c r="T186" s="123"/>
      <c r="U186" s="5"/>
    </row>
    <row r="187" spans="1:21" ht="39.950000000000003" customHeight="1" thickTop="1" thickBot="1">
      <c r="A187" s="123" t="s">
        <v>37</v>
      </c>
      <c r="B187" s="123">
        <v>8</v>
      </c>
      <c r="C187" s="155" t="s">
        <v>748</v>
      </c>
      <c r="D187" s="123">
        <v>1</v>
      </c>
      <c r="E187" s="151" t="s">
        <v>659</v>
      </c>
      <c r="F187" s="123"/>
      <c r="G187" s="123" t="s">
        <v>415</v>
      </c>
      <c r="H187" s="124">
        <v>45845</v>
      </c>
      <c r="I187" s="154">
        <f t="shared" ca="1" si="20"/>
        <v>342</v>
      </c>
      <c r="J187" s="127" t="s">
        <v>664</v>
      </c>
      <c r="K187" s="123" t="s">
        <v>664</v>
      </c>
      <c r="L187" s="123"/>
      <c r="M187" s="123"/>
      <c r="N187" s="123"/>
      <c r="O187" s="123"/>
      <c r="P187" s="123"/>
      <c r="Q187" s="123"/>
      <c r="R187" s="123"/>
      <c r="S187" s="123"/>
      <c r="T187" s="123"/>
      <c r="U187" s="5"/>
    </row>
    <row r="188" spans="1:21" ht="39.950000000000003" customHeight="1" thickTop="1" thickBot="1">
      <c r="A188" s="123" t="s">
        <v>37</v>
      </c>
      <c r="B188" s="123">
        <v>9</v>
      </c>
      <c r="C188" s="155" t="s">
        <v>749</v>
      </c>
      <c r="D188" s="123">
        <v>0</v>
      </c>
      <c r="E188" s="151" t="s">
        <v>659</v>
      </c>
      <c r="F188" s="123"/>
      <c r="G188" s="123" t="s">
        <v>67</v>
      </c>
      <c r="H188" s="124">
        <v>45999</v>
      </c>
      <c r="I188" s="154">
        <f t="shared" ca="1" si="20"/>
        <v>496</v>
      </c>
      <c r="J188" s="127" t="s">
        <v>664</v>
      </c>
      <c r="K188" s="123" t="s">
        <v>664</v>
      </c>
      <c r="L188" s="123"/>
      <c r="M188" s="123"/>
      <c r="N188" s="123"/>
      <c r="O188" s="123"/>
      <c r="P188" s="123"/>
      <c r="Q188" s="123"/>
      <c r="R188" s="123"/>
      <c r="S188" s="123"/>
      <c r="T188" s="123"/>
      <c r="U188" s="5"/>
    </row>
    <row r="189" spans="1:21" ht="39.950000000000003" customHeight="1" thickTop="1" thickBot="1">
      <c r="A189" s="123" t="s">
        <v>26</v>
      </c>
      <c r="B189" s="123" t="s">
        <v>85</v>
      </c>
      <c r="C189" s="155" t="s">
        <v>802</v>
      </c>
      <c r="D189" s="123">
        <v>1</v>
      </c>
      <c r="E189" s="151" t="s">
        <v>659</v>
      </c>
      <c r="F189" s="123"/>
      <c r="G189" s="123" t="s">
        <v>88</v>
      </c>
      <c r="H189" s="124">
        <v>45841</v>
      </c>
      <c r="I189" s="154">
        <f t="shared" ca="1" si="20"/>
        <v>338</v>
      </c>
      <c r="J189" s="127" t="s">
        <v>664</v>
      </c>
      <c r="K189" s="123" t="s">
        <v>664</v>
      </c>
      <c r="L189" s="123"/>
      <c r="M189" s="123"/>
      <c r="N189" s="123"/>
      <c r="O189" s="123"/>
      <c r="P189" s="123"/>
      <c r="Q189" s="123"/>
      <c r="R189" s="123"/>
      <c r="S189" s="123"/>
      <c r="T189" s="123"/>
      <c r="U189" s="5"/>
    </row>
    <row r="190" spans="1:21" ht="39.950000000000003" customHeight="1" thickTop="1" thickBot="1">
      <c r="A190" s="123" t="s">
        <v>26</v>
      </c>
      <c r="B190" s="123" t="s">
        <v>93</v>
      </c>
      <c r="C190" s="155" t="s">
        <v>805</v>
      </c>
      <c r="D190" s="123">
        <v>1</v>
      </c>
      <c r="E190" s="151" t="s">
        <v>659</v>
      </c>
      <c r="F190" s="123"/>
      <c r="G190" s="123" t="s">
        <v>140</v>
      </c>
      <c r="H190" s="124">
        <v>45841</v>
      </c>
      <c r="I190" s="154">
        <f t="shared" ca="1" si="20"/>
        <v>338</v>
      </c>
      <c r="J190" s="127" t="s">
        <v>664</v>
      </c>
      <c r="K190" s="123" t="s">
        <v>664</v>
      </c>
      <c r="L190" s="123"/>
      <c r="M190" s="123"/>
      <c r="N190" s="123"/>
      <c r="O190" s="123"/>
      <c r="P190" s="123"/>
      <c r="Q190" s="123"/>
      <c r="R190" s="123"/>
      <c r="S190" s="123"/>
      <c r="T190" s="123"/>
      <c r="U190" s="5"/>
    </row>
    <row r="191" spans="1:21" ht="39.950000000000003" customHeight="1" thickTop="1" thickBot="1">
      <c r="A191" s="123" t="s">
        <v>26</v>
      </c>
      <c r="B191" s="123" t="s">
        <v>177</v>
      </c>
      <c r="C191" s="155" t="s">
        <v>178</v>
      </c>
      <c r="D191" s="123">
        <v>5</v>
      </c>
      <c r="E191" s="151" t="s">
        <v>659</v>
      </c>
      <c r="F191" s="123"/>
      <c r="G191" s="123" t="s">
        <v>176</v>
      </c>
      <c r="H191" s="124">
        <v>45841</v>
      </c>
      <c r="I191" s="154">
        <f t="shared" ca="1" si="20"/>
        <v>338</v>
      </c>
      <c r="J191" s="127" t="s">
        <v>664</v>
      </c>
      <c r="K191" s="123" t="s">
        <v>664</v>
      </c>
      <c r="L191" s="123"/>
      <c r="M191" s="123"/>
      <c r="N191" s="123"/>
      <c r="O191" s="123"/>
      <c r="P191" s="123"/>
      <c r="Q191" s="123"/>
      <c r="R191" s="123"/>
      <c r="S191" s="123"/>
      <c r="T191" s="123"/>
      <c r="U191" s="5"/>
    </row>
    <row r="192" spans="1:21" s="169" customFormat="1" ht="39.950000000000003" customHeight="1" thickTop="1" thickBot="1">
      <c r="A192" s="160" t="s">
        <v>26</v>
      </c>
      <c r="B192" s="160" t="s">
        <v>218</v>
      </c>
      <c r="C192" s="159" t="s">
        <v>314</v>
      </c>
      <c r="D192" s="160">
        <v>1</v>
      </c>
      <c r="E192" s="164" t="s">
        <v>659</v>
      </c>
      <c r="F192" s="160"/>
      <c r="G192" s="160" t="s">
        <v>769</v>
      </c>
      <c r="H192" s="165">
        <v>45841</v>
      </c>
      <c r="I192" s="154">
        <f t="shared" ca="1" si="20"/>
        <v>338</v>
      </c>
      <c r="J192" s="167" t="s">
        <v>664</v>
      </c>
      <c r="K192" s="160" t="s">
        <v>664</v>
      </c>
      <c r="L192" s="160"/>
      <c r="M192" s="160"/>
      <c r="N192" s="160"/>
      <c r="O192" s="160"/>
      <c r="P192" s="160"/>
      <c r="Q192" s="160"/>
      <c r="R192" s="160"/>
      <c r="S192" s="160"/>
      <c r="T192" s="160"/>
      <c r="U192" s="168"/>
    </row>
    <row r="193" spans="1:21" ht="39.950000000000003" customHeight="1" thickTop="1" thickBot="1">
      <c r="A193" s="123" t="s">
        <v>26</v>
      </c>
      <c r="B193" s="123" t="s">
        <v>225</v>
      </c>
      <c r="C193" s="155" t="s">
        <v>317</v>
      </c>
      <c r="D193" s="123"/>
      <c r="E193" s="151" t="s">
        <v>326</v>
      </c>
      <c r="F193" s="123"/>
      <c r="G193" s="123"/>
      <c r="H193" s="124"/>
      <c r="I193" s="154" t="str">
        <f ca="1">IF(H193="","",DATE(YEAR(H193)+2,MONTH(H193),DAY(H193))-TODAY())</f>
        <v/>
      </c>
      <c r="J193" s="127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5"/>
    </row>
    <row r="194" spans="1:21" ht="39.950000000000003" customHeight="1" thickTop="1" thickBot="1">
      <c r="A194" s="123" t="s">
        <v>26</v>
      </c>
      <c r="B194" s="123" t="s">
        <v>227</v>
      </c>
      <c r="C194" s="155" t="s">
        <v>319</v>
      </c>
      <c r="D194" s="123">
        <v>0</v>
      </c>
      <c r="E194" s="151" t="s">
        <v>660</v>
      </c>
      <c r="F194" s="123"/>
      <c r="G194" s="123" t="s">
        <v>770</v>
      </c>
      <c r="H194" s="124">
        <v>45202</v>
      </c>
      <c r="I194" s="154">
        <f t="shared" ref="I194:I239" ca="1" si="21">IF(H194="","",DATE(YEAR(H194)+2,MONTH(H194),DAY(H194))-TODAY())</f>
        <v>-300</v>
      </c>
      <c r="J194" s="127" t="s">
        <v>664</v>
      </c>
      <c r="K194" s="123" t="s">
        <v>664</v>
      </c>
      <c r="L194" s="123"/>
      <c r="M194" s="123"/>
      <c r="N194" s="123"/>
      <c r="O194" s="123"/>
      <c r="P194" s="123"/>
      <c r="Q194" s="123"/>
      <c r="R194" s="123"/>
      <c r="S194" s="123"/>
      <c r="T194" s="123"/>
      <c r="U194" s="5"/>
    </row>
    <row r="195" spans="1:21" ht="39.950000000000003" customHeight="1" thickTop="1" thickBot="1">
      <c r="A195" s="123" t="s">
        <v>26</v>
      </c>
      <c r="B195" s="123" t="s">
        <v>229</v>
      </c>
      <c r="C195" s="155" t="s">
        <v>750</v>
      </c>
      <c r="D195" s="123">
        <v>2</v>
      </c>
      <c r="E195" s="151" t="s">
        <v>659</v>
      </c>
      <c r="F195" s="123"/>
      <c r="G195" s="123" t="s">
        <v>803</v>
      </c>
      <c r="H195" s="124">
        <v>45811</v>
      </c>
      <c r="I195" s="154">
        <f t="shared" ca="1" si="21"/>
        <v>308</v>
      </c>
      <c r="J195" s="127" t="s">
        <v>664</v>
      </c>
      <c r="K195" s="123" t="s">
        <v>664</v>
      </c>
      <c r="L195" s="123"/>
      <c r="M195" s="123"/>
      <c r="N195" s="123"/>
      <c r="O195" s="123"/>
      <c r="P195" s="123"/>
      <c r="Q195" s="123"/>
      <c r="R195" s="123"/>
      <c r="S195" s="123"/>
      <c r="T195" s="123"/>
      <c r="U195" s="5"/>
    </row>
    <row r="196" spans="1:21" ht="39.950000000000003" customHeight="1" thickTop="1" thickBot="1">
      <c r="A196" s="123" t="s">
        <v>26</v>
      </c>
      <c r="B196" s="123" t="s">
        <v>751</v>
      </c>
      <c r="C196" s="155" t="s">
        <v>752</v>
      </c>
      <c r="D196" s="123">
        <v>1</v>
      </c>
      <c r="E196" s="151" t="s">
        <v>659</v>
      </c>
      <c r="F196" s="123"/>
      <c r="G196" s="123" t="s">
        <v>232</v>
      </c>
      <c r="H196" s="124">
        <v>46129</v>
      </c>
      <c r="I196" s="154">
        <f t="shared" ca="1" si="21"/>
        <v>627</v>
      </c>
      <c r="J196" s="127" t="s">
        <v>664</v>
      </c>
      <c r="K196" s="123" t="s">
        <v>664</v>
      </c>
      <c r="L196" s="123"/>
      <c r="M196" s="123"/>
      <c r="N196" s="123"/>
      <c r="O196" s="123"/>
      <c r="P196" s="123"/>
      <c r="Q196" s="123"/>
      <c r="R196" s="123"/>
      <c r="S196" s="123"/>
      <c r="T196" s="123"/>
      <c r="U196" s="5"/>
    </row>
    <row r="197" spans="1:21" s="169" customFormat="1" ht="39.950000000000003" customHeight="1" thickTop="1" thickBot="1">
      <c r="A197" s="160" t="s">
        <v>685</v>
      </c>
      <c r="B197" s="160">
        <v>1</v>
      </c>
      <c r="C197" s="159" t="s">
        <v>753</v>
      </c>
      <c r="D197" s="160">
        <v>1</v>
      </c>
      <c r="E197" s="164" t="s">
        <v>659</v>
      </c>
      <c r="F197" s="160"/>
      <c r="G197" s="160" t="s">
        <v>67</v>
      </c>
      <c r="H197" s="165">
        <v>45700</v>
      </c>
      <c r="I197" s="154">
        <f t="shared" ca="1" si="21"/>
        <v>197</v>
      </c>
      <c r="J197" s="167" t="s">
        <v>664</v>
      </c>
      <c r="K197" s="160" t="s">
        <v>664</v>
      </c>
      <c r="L197" s="160"/>
      <c r="M197" s="160"/>
      <c r="N197" s="160"/>
      <c r="O197" s="160"/>
      <c r="P197" s="160"/>
      <c r="Q197" s="160"/>
      <c r="R197" s="160"/>
      <c r="S197" s="160"/>
      <c r="T197" s="160" t="s">
        <v>839</v>
      </c>
      <c r="U197" s="168"/>
    </row>
    <row r="198" spans="1:21" ht="39.950000000000003" customHeight="1" thickTop="1" thickBot="1">
      <c r="A198" s="123" t="s">
        <v>686</v>
      </c>
      <c r="B198" s="123" t="s">
        <v>686</v>
      </c>
      <c r="C198" s="155" t="s">
        <v>754</v>
      </c>
      <c r="D198" s="123">
        <v>0</v>
      </c>
      <c r="E198" s="151" t="s">
        <v>659</v>
      </c>
      <c r="F198" s="123"/>
      <c r="G198" s="123" t="s">
        <v>67</v>
      </c>
      <c r="H198" s="124">
        <v>45999</v>
      </c>
      <c r="I198" s="154">
        <f t="shared" ca="1" si="21"/>
        <v>496</v>
      </c>
      <c r="J198" s="127" t="s">
        <v>664</v>
      </c>
      <c r="K198" s="123" t="s">
        <v>664</v>
      </c>
      <c r="L198" s="123"/>
      <c r="M198" s="123"/>
      <c r="N198" s="123"/>
      <c r="O198" s="123"/>
      <c r="P198" s="123"/>
      <c r="Q198" s="123"/>
      <c r="R198" s="123"/>
      <c r="S198" s="123"/>
      <c r="T198" s="123"/>
      <c r="U198" s="5"/>
    </row>
    <row r="199" spans="1:21" ht="39.950000000000003" customHeight="1" thickTop="1" thickBot="1">
      <c r="A199" s="123" t="s">
        <v>12</v>
      </c>
      <c r="B199" s="123">
        <v>1</v>
      </c>
      <c r="C199" s="155" t="s">
        <v>13</v>
      </c>
      <c r="D199" s="123">
        <v>7</v>
      </c>
      <c r="E199" s="151" t="s">
        <v>659</v>
      </c>
      <c r="F199" s="123"/>
      <c r="G199" s="123" t="s">
        <v>16</v>
      </c>
      <c r="H199" s="124">
        <v>46223</v>
      </c>
      <c r="I199" s="154">
        <f t="shared" ca="1" si="21"/>
        <v>721</v>
      </c>
      <c r="J199" s="127" t="s">
        <v>664</v>
      </c>
      <c r="K199" s="123" t="s">
        <v>664</v>
      </c>
      <c r="L199" s="123"/>
      <c r="M199" s="123"/>
      <c r="N199" s="123"/>
      <c r="O199" s="123"/>
      <c r="P199" s="123"/>
      <c r="Q199" s="123"/>
      <c r="R199" s="123"/>
      <c r="S199" s="123"/>
      <c r="T199" s="123"/>
      <c r="U199" s="5"/>
    </row>
    <row r="200" spans="1:21" ht="39.950000000000003" customHeight="1" thickTop="1" thickBot="1">
      <c r="A200" s="123" t="s">
        <v>34</v>
      </c>
      <c r="B200" s="123">
        <v>1</v>
      </c>
      <c r="C200" s="155" t="s">
        <v>818</v>
      </c>
      <c r="D200" s="123">
        <v>4</v>
      </c>
      <c r="E200" s="151" t="s">
        <v>659</v>
      </c>
      <c r="F200" s="123"/>
      <c r="G200" s="123" t="s">
        <v>67</v>
      </c>
      <c r="H200" s="124">
        <v>45999</v>
      </c>
      <c r="I200" s="154">
        <f t="shared" ca="1" si="21"/>
        <v>496</v>
      </c>
      <c r="J200" s="127" t="s">
        <v>664</v>
      </c>
      <c r="K200" s="123" t="s">
        <v>664</v>
      </c>
      <c r="L200" s="123"/>
      <c r="M200" s="123"/>
      <c r="N200" s="123"/>
      <c r="O200" s="123"/>
      <c r="P200" s="123"/>
      <c r="Q200" s="123"/>
      <c r="R200" s="123"/>
      <c r="S200" s="123"/>
      <c r="T200" s="123" t="s">
        <v>839</v>
      </c>
      <c r="U200" s="5"/>
    </row>
    <row r="201" spans="1:21" ht="39.950000000000003" customHeight="1" thickTop="1" thickBot="1">
      <c r="A201" s="123" t="s">
        <v>34</v>
      </c>
      <c r="B201" s="123">
        <v>2</v>
      </c>
      <c r="C201" s="155" t="s">
        <v>403</v>
      </c>
      <c r="D201" s="123">
        <v>3</v>
      </c>
      <c r="E201" s="151" t="s">
        <v>659</v>
      </c>
      <c r="F201" s="123"/>
      <c r="G201" s="123" t="s">
        <v>67</v>
      </c>
      <c r="H201" s="124">
        <v>46156</v>
      </c>
      <c r="I201" s="154">
        <f t="shared" ca="1" si="21"/>
        <v>654</v>
      </c>
      <c r="J201" s="127" t="s">
        <v>664</v>
      </c>
      <c r="K201" s="123" t="s">
        <v>664</v>
      </c>
      <c r="L201" s="123"/>
      <c r="M201" s="123"/>
      <c r="N201" s="123"/>
      <c r="O201" s="123"/>
      <c r="P201" s="123"/>
      <c r="Q201" s="123"/>
      <c r="R201" s="123"/>
      <c r="S201" s="123"/>
      <c r="T201" s="123" t="s">
        <v>839</v>
      </c>
      <c r="U201" s="5"/>
    </row>
    <row r="202" spans="1:21" ht="39.950000000000003" customHeight="1" thickTop="1" thickBot="1">
      <c r="A202" s="123" t="s">
        <v>34</v>
      </c>
      <c r="B202" s="123">
        <v>3</v>
      </c>
      <c r="C202" s="155" t="s">
        <v>405</v>
      </c>
      <c r="D202" s="132" t="s">
        <v>793</v>
      </c>
      <c r="E202" s="151" t="s">
        <v>659</v>
      </c>
      <c r="F202" s="123"/>
      <c r="G202" s="123" t="s">
        <v>67</v>
      </c>
      <c r="H202" s="130">
        <v>45999</v>
      </c>
      <c r="I202" s="154">
        <f t="shared" ca="1" si="21"/>
        <v>496</v>
      </c>
      <c r="J202" s="127" t="s">
        <v>664</v>
      </c>
      <c r="K202" s="123" t="s">
        <v>664</v>
      </c>
      <c r="L202" s="123"/>
      <c r="M202" s="123"/>
      <c r="N202" s="123"/>
      <c r="O202" s="123"/>
      <c r="P202" s="123"/>
      <c r="Q202" s="123"/>
      <c r="R202" s="123"/>
      <c r="S202" s="123"/>
      <c r="T202" s="123" t="s">
        <v>839</v>
      </c>
      <c r="U202" s="5"/>
    </row>
    <row r="203" spans="1:21" ht="39.950000000000003" customHeight="1" thickTop="1" thickBot="1">
      <c r="A203" s="123" t="s">
        <v>34</v>
      </c>
      <c r="B203" s="123">
        <v>4</v>
      </c>
      <c r="C203" s="155" t="s">
        <v>853</v>
      </c>
      <c r="D203" s="132">
        <v>1</v>
      </c>
      <c r="E203" s="151" t="s">
        <v>659</v>
      </c>
      <c r="F203" s="123"/>
      <c r="G203" s="123" t="s">
        <v>67</v>
      </c>
      <c r="H203" s="130">
        <v>45842</v>
      </c>
      <c r="I203" s="154">
        <f t="shared" ca="1" si="21"/>
        <v>339</v>
      </c>
      <c r="J203" s="127" t="s">
        <v>664</v>
      </c>
      <c r="K203" s="123" t="s">
        <v>664</v>
      </c>
      <c r="L203" s="123"/>
      <c r="M203" s="123"/>
      <c r="N203" s="123"/>
      <c r="O203" s="123"/>
      <c r="P203" s="123"/>
      <c r="Q203" s="123"/>
      <c r="R203" s="123"/>
      <c r="S203" s="123"/>
      <c r="T203" s="123"/>
      <c r="U203" s="5"/>
    </row>
    <row r="204" spans="1:21" ht="39.950000000000003" customHeight="1" thickTop="1" thickBot="1">
      <c r="A204" s="128" t="s">
        <v>34</v>
      </c>
      <c r="B204" s="128">
        <v>5</v>
      </c>
      <c r="C204" s="155" t="s">
        <v>408</v>
      </c>
      <c r="D204" s="129" t="s">
        <v>778</v>
      </c>
      <c r="E204" s="151" t="s">
        <v>659</v>
      </c>
      <c r="F204" s="123"/>
      <c r="G204" s="123" t="s">
        <v>67</v>
      </c>
      <c r="H204" s="130">
        <v>46162</v>
      </c>
      <c r="I204" s="154">
        <f t="shared" ca="1" si="21"/>
        <v>660</v>
      </c>
      <c r="J204" s="127" t="s">
        <v>664</v>
      </c>
      <c r="K204" s="123" t="s">
        <v>664</v>
      </c>
      <c r="L204" s="123"/>
      <c r="M204" s="123"/>
      <c r="N204" s="123"/>
      <c r="O204" s="123"/>
      <c r="P204" s="123"/>
      <c r="Q204" s="123"/>
      <c r="R204" s="123"/>
      <c r="S204" s="123"/>
      <c r="T204" s="123"/>
      <c r="U204" s="5"/>
    </row>
    <row r="205" spans="1:21" ht="39.950000000000003" customHeight="1" thickTop="1" thickBot="1">
      <c r="A205" s="128" t="s">
        <v>34</v>
      </c>
      <c r="B205" s="128">
        <v>6</v>
      </c>
      <c r="C205" s="155" t="s">
        <v>409</v>
      </c>
      <c r="D205" s="129">
        <v>2</v>
      </c>
      <c r="E205" s="151" t="s">
        <v>659</v>
      </c>
      <c r="F205" s="123"/>
      <c r="G205" s="123" t="s">
        <v>67</v>
      </c>
      <c r="H205" s="130">
        <v>45842</v>
      </c>
      <c r="I205" s="154">
        <f t="shared" ca="1" si="21"/>
        <v>339</v>
      </c>
      <c r="J205" s="127" t="s">
        <v>664</v>
      </c>
      <c r="K205" s="123" t="s">
        <v>664</v>
      </c>
      <c r="L205" s="123"/>
      <c r="M205" s="123"/>
      <c r="N205" s="123"/>
      <c r="O205" s="123"/>
      <c r="P205" s="123"/>
      <c r="Q205" s="123"/>
      <c r="R205" s="123"/>
      <c r="S205" s="123"/>
      <c r="T205" s="123"/>
      <c r="U205" s="5"/>
    </row>
    <row r="206" spans="1:21" ht="39.950000000000003" customHeight="1" thickTop="1" thickBot="1">
      <c r="A206" s="128" t="s">
        <v>34</v>
      </c>
      <c r="B206" s="128">
        <v>7</v>
      </c>
      <c r="C206" s="155" t="s">
        <v>411</v>
      </c>
      <c r="D206" s="129">
        <v>1</v>
      </c>
      <c r="E206" s="151" t="s">
        <v>659</v>
      </c>
      <c r="F206" s="123"/>
      <c r="G206" s="123" t="s">
        <v>67</v>
      </c>
      <c r="H206" s="130">
        <v>45842</v>
      </c>
      <c r="I206" s="154">
        <f t="shared" ca="1" si="21"/>
        <v>339</v>
      </c>
      <c r="J206" s="127" t="s">
        <v>664</v>
      </c>
      <c r="K206" s="123" t="s">
        <v>664</v>
      </c>
      <c r="L206" s="123"/>
      <c r="M206" s="123"/>
      <c r="N206" s="123"/>
      <c r="O206" s="123"/>
      <c r="P206" s="123"/>
      <c r="Q206" s="123"/>
      <c r="R206" s="123"/>
      <c r="S206" s="123"/>
      <c r="T206" s="123"/>
      <c r="U206" s="5"/>
    </row>
    <row r="207" spans="1:21" ht="39.950000000000003" customHeight="1" thickTop="1" thickBot="1">
      <c r="A207" s="123" t="s">
        <v>34</v>
      </c>
      <c r="B207" s="123">
        <v>8</v>
      </c>
      <c r="C207" s="155" t="s">
        <v>413</v>
      </c>
      <c r="D207" s="123">
        <v>2</v>
      </c>
      <c r="E207" s="151" t="s">
        <v>659</v>
      </c>
      <c r="F207" s="123"/>
      <c r="G207" s="123" t="s">
        <v>415</v>
      </c>
      <c r="H207" s="130">
        <v>45834</v>
      </c>
      <c r="I207" s="154">
        <f t="shared" ca="1" si="21"/>
        <v>331</v>
      </c>
      <c r="J207" s="127" t="s">
        <v>664</v>
      </c>
      <c r="K207" s="123" t="s">
        <v>664</v>
      </c>
      <c r="L207" s="123"/>
      <c r="M207" s="123"/>
      <c r="N207" s="123"/>
      <c r="O207" s="123"/>
      <c r="P207" s="123"/>
      <c r="Q207" s="123"/>
      <c r="R207" s="123"/>
      <c r="S207" s="123"/>
      <c r="T207" s="123" t="s">
        <v>839</v>
      </c>
      <c r="U207" s="5"/>
    </row>
    <row r="208" spans="1:21" ht="39.950000000000003" customHeight="1" thickTop="1" thickBot="1">
      <c r="A208" s="123" t="s">
        <v>34</v>
      </c>
      <c r="B208" s="123">
        <v>9</v>
      </c>
      <c r="C208" s="155" t="s">
        <v>416</v>
      </c>
      <c r="D208" s="123">
        <v>3</v>
      </c>
      <c r="E208" s="151" t="s">
        <v>659</v>
      </c>
      <c r="F208" s="123"/>
      <c r="G208" s="123" t="s">
        <v>415</v>
      </c>
      <c r="H208" s="124">
        <v>45999</v>
      </c>
      <c r="I208" s="154">
        <f t="shared" ca="1" si="21"/>
        <v>496</v>
      </c>
      <c r="J208" s="127" t="s">
        <v>664</v>
      </c>
      <c r="K208" s="123" t="s">
        <v>664</v>
      </c>
      <c r="L208" s="123"/>
      <c r="M208" s="123"/>
      <c r="N208" s="123"/>
      <c r="O208" s="123"/>
      <c r="P208" s="123"/>
      <c r="Q208" s="123"/>
      <c r="R208" s="123"/>
      <c r="S208" s="123"/>
      <c r="T208" s="123" t="s">
        <v>839</v>
      </c>
      <c r="U208" s="5"/>
    </row>
    <row r="209" spans="1:21" ht="39.950000000000003" customHeight="1" thickTop="1" thickBot="1">
      <c r="A209" s="123" t="s">
        <v>34</v>
      </c>
      <c r="B209" s="123">
        <v>10</v>
      </c>
      <c r="C209" s="155" t="s">
        <v>417</v>
      </c>
      <c r="D209" s="123">
        <v>1</v>
      </c>
      <c r="E209" s="151" t="s">
        <v>659</v>
      </c>
      <c r="F209" s="123"/>
      <c r="G209" s="123" t="s">
        <v>415</v>
      </c>
      <c r="H209" s="124">
        <v>45842</v>
      </c>
      <c r="I209" s="154">
        <f t="shared" ca="1" si="21"/>
        <v>339</v>
      </c>
      <c r="J209" s="127" t="s">
        <v>664</v>
      </c>
      <c r="K209" s="123" t="s">
        <v>664</v>
      </c>
      <c r="L209" s="123"/>
      <c r="M209" s="123"/>
      <c r="N209" s="123"/>
      <c r="O209" s="123"/>
      <c r="P209" s="123"/>
      <c r="Q209" s="123"/>
      <c r="R209" s="123"/>
      <c r="S209" s="123"/>
      <c r="T209" s="123"/>
      <c r="U209" s="5"/>
    </row>
    <row r="210" spans="1:21" s="169" customFormat="1" ht="39.950000000000003" customHeight="1" thickTop="1" thickBot="1">
      <c r="A210" s="160" t="s">
        <v>34</v>
      </c>
      <c r="B210" s="160">
        <v>11</v>
      </c>
      <c r="C210" s="159" t="s">
        <v>418</v>
      </c>
      <c r="D210" s="160">
        <v>4</v>
      </c>
      <c r="E210" s="164" t="s">
        <v>659</v>
      </c>
      <c r="F210" s="160"/>
      <c r="G210" s="160" t="s">
        <v>415</v>
      </c>
      <c r="H210" s="165">
        <v>45999</v>
      </c>
      <c r="I210" s="154">
        <f t="shared" ca="1" si="21"/>
        <v>496</v>
      </c>
      <c r="J210" s="167" t="s">
        <v>664</v>
      </c>
      <c r="K210" s="160" t="s">
        <v>664</v>
      </c>
      <c r="L210" s="160"/>
      <c r="M210" s="160"/>
      <c r="N210" s="160"/>
      <c r="O210" s="160"/>
      <c r="P210" s="160"/>
      <c r="Q210" s="160"/>
      <c r="R210" s="160"/>
      <c r="S210" s="160"/>
      <c r="T210" s="160" t="s">
        <v>839</v>
      </c>
      <c r="U210" s="168"/>
    </row>
    <row r="211" spans="1:21" ht="39.950000000000003" customHeight="1" thickTop="1" thickBot="1">
      <c r="A211" s="123" t="s">
        <v>34</v>
      </c>
      <c r="B211" s="123">
        <v>12</v>
      </c>
      <c r="C211" s="155" t="s">
        <v>755</v>
      </c>
      <c r="D211" s="123">
        <v>3</v>
      </c>
      <c r="E211" s="151" t="s">
        <v>659</v>
      </c>
      <c r="F211" s="123"/>
      <c r="G211" s="123" t="s">
        <v>415</v>
      </c>
      <c r="H211" s="124">
        <v>46160</v>
      </c>
      <c r="I211" s="154">
        <f t="shared" ca="1" si="21"/>
        <v>658</v>
      </c>
      <c r="J211" s="127" t="s">
        <v>664</v>
      </c>
      <c r="K211" s="123" t="s">
        <v>664</v>
      </c>
      <c r="L211" s="123"/>
      <c r="M211" s="123"/>
      <c r="N211" s="123"/>
      <c r="O211" s="123"/>
      <c r="P211" s="123"/>
      <c r="Q211" s="123"/>
      <c r="R211" s="123"/>
      <c r="S211" s="123"/>
      <c r="T211" s="123"/>
      <c r="U211" s="5"/>
    </row>
    <row r="212" spans="1:21" ht="39.950000000000003" customHeight="1" thickTop="1" thickBot="1">
      <c r="A212" s="123" t="s">
        <v>34</v>
      </c>
      <c r="B212" s="123">
        <v>13</v>
      </c>
      <c r="C212" s="155" t="s">
        <v>421</v>
      </c>
      <c r="D212" s="123">
        <v>1</v>
      </c>
      <c r="E212" s="151" t="s">
        <v>659</v>
      </c>
      <c r="F212" s="123"/>
      <c r="G212" s="123" t="s">
        <v>415</v>
      </c>
      <c r="H212" s="124">
        <v>45842</v>
      </c>
      <c r="I212" s="154">
        <f t="shared" ca="1" si="21"/>
        <v>339</v>
      </c>
      <c r="J212" s="127" t="s">
        <v>664</v>
      </c>
      <c r="K212" s="123" t="s">
        <v>664</v>
      </c>
      <c r="L212" s="123"/>
      <c r="M212" s="123"/>
      <c r="N212" s="123"/>
      <c r="O212" s="123"/>
      <c r="P212" s="123"/>
      <c r="Q212" s="123"/>
      <c r="R212" s="123"/>
      <c r="S212" s="123"/>
      <c r="T212" s="123"/>
      <c r="U212" s="5"/>
    </row>
    <row r="213" spans="1:21" ht="39.950000000000003" customHeight="1" thickTop="1" thickBot="1">
      <c r="A213" s="123" t="s">
        <v>34</v>
      </c>
      <c r="B213" s="123">
        <v>14</v>
      </c>
      <c r="C213" s="155" t="s">
        <v>840</v>
      </c>
      <c r="D213" s="123">
        <v>2</v>
      </c>
      <c r="E213" s="151" t="s">
        <v>659</v>
      </c>
      <c r="F213" s="123"/>
      <c r="G213" s="123" t="s">
        <v>415</v>
      </c>
      <c r="H213" s="124">
        <v>46364</v>
      </c>
      <c r="I213" s="154">
        <f t="shared" ca="1" si="21"/>
        <v>862</v>
      </c>
      <c r="J213" s="127" t="s">
        <v>664</v>
      </c>
      <c r="K213" s="123" t="s">
        <v>664</v>
      </c>
      <c r="L213" s="123"/>
      <c r="M213" s="123"/>
      <c r="N213" s="123"/>
      <c r="O213" s="123"/>
      <c r="P213" s="123"/>
      <c r="Q213" s="123"/>
      <c r="R213" s="123"/>
      <c r="S213" s="123"/>
      <c r="T213" s="123" t="s">
        <v>839</v>
      </c>
      <c r="U213" s="5"/>
    </row>
    <row r="214" spans="1:21" ht="39.950000000000003" customHeight="1" thickTop="1" thickBot="1">
      <c r="A214" s="123" t="s">
        <v>34</v>
      </c>
      <c r="B214" s="123">
        <v>15</v>
      </c>
      <c r="C214" s="155" t="s">
        <v>425</v>
      </c>
      <c r="D214" s="123">
        <v>2</v>
      </c>
      <c r="E214" s="151" t="s">
        <v>659</v>
      </c>
      <c r="F214" s="123"/>
      <c r="G214" s="123" t="s">
        <v>67</v>
      </c>
      <c r="H214" s="124">
        <v>45842</v>
      </c>
      <c r="I214" s="154">
        <f t="shared" ca="1" si="21"/>
        <v>339</v>
      </c>
      <c r="J214" s="127" t="s">
        <v>664</v>
      </c>
      <c r="K214" s="123" t="s">
        <v>664</v>
      </c>
      <c r="L214" s="123"/>
      <c r="M214" s="123"/>
      <c r="N214" s="123"/>
      <c r="O214" s="123"/>
      <c r="P214" s="123"/>
      <c r="Q214" s="123"/>
      <c r="R214" s="123"/>
      <c r="S214" s="123"/>
      <c r="T214" s="123"/>
      <c r="U214" s="5"/>
    </row>
    <row r="215" spans="1:21" ht="39.950000000000003" customHeight="1" thickTop="1" thickBot="1">
      <c r="A215" s="123" t="s">
        <v>34</v>
      </c>
      <c r="B215" s="123">
        <v>16</v>
      </c>
      <c r="C215" s="155" t="s">
        <v>427</v>
      </c>
      <c r="D215" s="123">
        <v>2</v>
      </c>
      <c r="E215" s="151" t="s">
        <v>659</v>
      </c>
      <c r="F215" s="123"/>
      <c r="G215" s="123" t="s">
        <v>415</v>
      </c>
      <c r="H215" s="124">
        <v>45834</v>
      </c>
      <c r="I215" s="154">
        <f t="shared" ca="1" si="21"/>
        <v>331</v>
      </c>
      <c r="J215" s="127" t="s">
        <v>664</v>
      </c>
      <c r="K215" s="123" t="s">
        <v>664</v>
      </c>
      <c r="L215" s="123"/>
      <c r="M215" s="123"/>
      <c r="N215" s="123"/>
      <c r="O215" s="123"/>
      <c r="P215" s="123"/>
      <c r="Q215" s="123"/>
      <c r="R215" s="123"/>
      <c r="S215" s="123"/>
      <c r="T215" s="123"/>
      <c r="U215" s="5"/>
    </row>
    <row r="216" spans="1:21" ht="39.950000000000003" customHeight="1" thickTop="1" thickBot="1">
      <c r="A216" s="123" t="s">
        <v>34</v>
      </c>
      <c r="B216" s="123">
        <v>17</v>
      </c>
      <c r="C216" s="155" t="s">
        <v>429</v>
      </c>
      <c r="D216" s="123">
        <v>3</v>
      </c>
      <c r="E216" s="151" t="s">
        <v>659</v>
      </c>
      <c r="F216" s="123"/>
      <c r="G216" s="123" t="s">
        <v>415</v>
      </c>
      <c r="H216" s="124">
        <v>46072</v>
      </c>
      <c r="I216" s="154">
        <f t="shared" ca="1" si="21"/>
        <v>569</v>
      </c>
      <c r="J216" s="127" t="s">
        <v>664</v>
      </c>
      <c r="K216" s="123" t="s">
        <v>664</v>
      </c>
      <c r="L216" s="123"/>
      <c r="M216" s="123"/>
      <c r="N216" s="123"/>
      <c r="O216" s="123"/>
      <c r="P216" s="123"/>
      <c r="Q216" s="123"/>
      <c r="R216" s="123"/>
      <c r="S216" s="123"/>
      <c r="T216" s="123" t="s">
        <v>839</v>
      </c>
      <c r="U216" s="5"/>
    </row>
    <row r="217" spans="1:21" ht="39.950000000000003" customHeight="1" thickTop="1" thickBot="1">
      <c r="A217" s="123" t="s">
        <v>34</v>
      </c>
      <c r="B217" s="123">
        <v>18</v>
      </c>
      <c r="C217" s="155" t="s">
        <v>756</v>
      </c>
      <c r="D217" s="123">
        <v>1</v>
      </c>
      <c r="E217" s="151" t="s">
        <v>659</v>
      </c>
      <c r="F217" s="123"/>
      <c r="G217" s="123" t="s">
        <v>415</v>
      </c>
      <c r="H217" s="124">
        <v>45834</v>
      </c>
      <c r="I217" s="154">
        <f t="shared" ca="1" si="21"/>
        <v>331</v>
      </c>
      <c r="J217" s="127" t="s">
        <v>664</v>
      </c>
      <c r="K217" s="123" t="s">
        <v>664</v>
      </c>
      <c r="L217" s="123"/>
      <c r="M217" s="123"/>
      <c r="N217" s="123"/>
      <c r="O217" s="123"/>
      <c r="P217" s="123"/>
      <c r="Q217" s="123"/>
      <c r="R217" s="123"/>
      <c r="S217" s="123"/>
      <c r="T217" s="123" t="s">
        <v>839</v>
      </c>
      <c r="U217" s="5"/>
    </row>
    <row r="218" spans="1:21" ht="39.950000000000003" customHeight="1" thickTop="1" thickBot="1">
      <c r="A218" s="123" t="s">
        <v>34</v>
      </c>
      <c r="B218" s="123">
        <v>19</v>
      </c>
      <c r="C218" s="156" t="s">
        <v>815</v>
      </c>
      <c r="D218" s="123">
        <v>0</v>
      </c>
      <c r="E218" s="151" t="s">
        <v>659</v>
      </c>
      <c r="F218" s="123"/>
      <c r="G218" s="123" t="s">
        <v>67</v>
      </c>
      <c r="H218" s="124">
        <v>45999</v>
      </c>
      <c r="I218" s="154">
        <f t="shared" ca="1" si="21"/>
        <v>496</v>
      </c>
      <c r="J218" s="127" t="s">
        <v>664</v>
      </c>
      <c r="K218" s="123" t="s">
        <v>664</v>
      </c>
      <c r="L218" s="123"/>
      <c r="M218" s="123"/>
      <c r="N218" s="123"/>
      <c r="O218" s="123"/>
      <c r="P218" s="123"/>
      <c r="Q218" s="123"/>
      <c r="R218" s="123"/>
      <c r="S218" s="123"/>
      <c r="T218" s="123" t="s">
        <v>839</v>
      </c>
      <c r="U218" s="5"/>
    </row>
    <row r="219" spans="1:21" ht="39.950000000000003" customHeight="1" thickTop="1" thickBot="1">
      <c r="A219" s="123" t="s">
        <v>34</v>
      </c>
      <c r="B219" s="123">
        <v>21</v>
      </c>
      <c r="C219" s="155" t="s">
        <v>794</v>
      </c>
      <c r="D219" s="123">
        <v>0</v>
      </c>
      <c r="E219" s="151" t="s">
        <v>659</v>
      </c>
      <c r="F219" s="123"/>
      <c r="G219" s="123" t="s">
        <v>67</v>
      </c>
      <c r="H219" s="124">
        <v>45996</v>
      </c>
      <c r="I219" s="154">
        <f t="shared" ca="1" si="21"/>
        <v>493</v>
      </c>
      <c r="J219" s="127" t="s">
        <v>664</v>
      </c>
      <c r="K219" s="123" t="s">
        <v>664</v>
      </c>
      <c r="L219" s="123"/>
      <c r="M219" s="123"/>
      <c r="N219" s="123"/>
      <c r="O219" s="123"/>
      <c r="P219" s="123"/>
      <c r="Q219" s="123"/>
      <c r="R219" s="123"/>
      <c r="S219" s="123"/>
      <c r="T219" s="123" t="s">
        <v>839</v>
      </c>
      <c r="U219" s="5"/>
    </row>
    <row r="220" spans="1:21" ht="39.950000000000003" customHeight="1" thickTop="1" thickBot="1">
      <c r="A220" s="123" t="s">
        <v>34</v>
      </c>
      <c r="B220" s="123">
        <v>22</v>
      </c>
      <c r="C220" s="156" t="s">
        <v>757</v>
      </c>
      <c r="D220" s="123">
        <v>0</v>
      </c>
      <c r="E220" s="151" t="s">
        <v>659</v>
      </c>
      <c r="F220" s="123"/>
      <c r="G220" s="123" t="s">
        <v>67</v>
      </c>
      <c r="H220" s="124">
        <v>45999</v>
      </c>
      <c r="I220" s="154">
        <f t="shared" ca="1" si="21"/>
        <v>496</v>
      </c>
      <c r="J220" s="127" t="s">
        <v>664</v>
      </c>
      <c r="K220" s="123" t="s">
        <v>664</v>
      </c>
      <c r="L220" s="123"/>
      <c r="M220" s="123"/>
      <c r="N220" s="123"/>
      <c r="O220" s="123"/>
      <c r="P220" s="123"/>
      <c r="Q220" s="123"/>
      <c r="R220" s="123"/>
      <c r="S220" s="123"/>
      <c r="T220" s="123" t="s">
        <v>839</v>
      </c>
      <c r="U220" s="5"/>
    </row>
    <row r="221" spans="1:21" ht="39.950000000000003" customHeight="1" thickTop="1" thickBot="1">
      <c r="A221" s="123" t="s">
        <v>34</v>
      </c>
      <c r="B221" s="123">
        <v>23</v>
      </c>
      <c r="C221" s="156" t="s">
        <v>814</v>
      </c>
      <c r="D221" s="123">
        <v>0</v>
      </c>
      <c r="E221" s="151" t="s">
        <v>659</v>
      </c>
      <c r="F221" s="123"/>
      <c r="G221" s="123" t="s">
        <v>67</v>
      </c>
      <c r="H221" s="124">
        <v>45999</v>
      </c>
      <c r="I221" s="154">
        <f t="shared" ca="1" si="21"/>
        <v>496</v>
      </c>
      <c r="J221" s="127" t="s">
        <v>664</v>
      </c>
      <c r="K221" s="123" t="s">
        <v>664</v>
      </c>
      <c r="L221" s="123"/>
      <c r="M221" s="123"/>
      <c r="N221" s="123"/>
      <c r="O221" s="123"/>
      <c r="P221" s="123"/>
      <c r="Q221" s="123"/>
      <c r="R221" s="123"/>
      <c r="S221" s="123"/>
      <c r="T221" s="123" t="s">
        <v>839</v>
      </c>
      <c r="U221" s="5"/>
    </row>
    <row r="222" spans="1:21" ht="39.950000000000003" customHeight="1" thickTop="1" thickBot="1">
      <c r="A222" s="123" t="s">
        <v>34</v>
      </c>
      <c r="B222" s="123">
        <v>24</v>
      </c>
      <c r="C222" s="156" t="s">
        <v>855</v>
      </c>
      <c r="D222" s="123">
        <v>0</v>
      </c>
      <c r="E222" s="151" t="s">
        <v>659</v>
      </c>
      <c r="F222" s="123"/>
      <c r="G222" s="123" t="s">
        <v>67</v>
      </c>
      <c r="H222" s="124">
        <v>46211</v>
      </c>
      <c r="I222" s="154">
        <f t="shared" ca="1" si="21"/>
        <v>709</v>
      </c>
      <c r="J222" s="127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 t="s">
        <v>839</v>
      </c>
      <c r="U222" s="5"/>
    </row>
    <row r="223" spans="1:21" ht="39.950000000000003" customHeight="1" thickTop="1" thickBot="1">
      <c r="A223" s="123" t="s">
        <v>34</v>
      </c>
      <c r="B223" s="123">
        <v>25</v>
      </c>
      <c r="C223" s="156" t="s">
        <v>841</v>
      </c>
      <c r="D223" s="123">
        <v>0</v>
      </c>
      <c r="E223" s="151" t="s">
        <v>659</v>
      </c>
      <c r="F223" s="123"/>
      <c r="G223" s="123" t="s">
        <v>67</v>
      </c>
      <c r="H223" s="124">
        <v>46188</v>
      </c>
      <c r="I223" s="154">
        <f t="shared" ca="1" si="21"/>
        <v>686</v>
      </c>
      <c r="J223" s="127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 t="s">
        <v>839</v>
      </c>
      <c r="U223" s="5"/>
    </row>
    <row r="224" spans="1:21" ht="39.950000000000003" customHeight="1" thickTop="1" thickBot="1">
      <c r="A224" s="123" t="s">
        <v>17</v>
      </c>
      <c r="B224" s="123" t="s">
        <v>18</v>
      </c>
      <c r="C224" s="156" t="s">
        <v>19</v>
      </c>
      <c r="D224" s="123">
        <v>2</v>
      </c>
      <c r="E224" s="151" t="s">
        <v>659</v>
      </c>
      <c r="F224" s="123"/>
      <c r="G224" s="123" t="s">
        <v>22</v>
      </c>
      <c r="H224" s="124">
        <v>45839</v>
      </c>
      <c r="I224" s="154">
        <f t="shared" ca="1" si="21"/>
        <v>336</v>
      </c>
      <c r="J224" s="127" t="s">
        <v>664</v>
      </c>
      <c r="K224" s="123" t="s">
        <v>664</v>
      </c>
      <c r="L224" s="123"/>
      <c r="M224" s="123"/>
      <c r="N224" s="123"/>
      <c r="O224" s="123"/>
      <c r="P224" s="123"/>
      <c r="Q224" s="123"/>
      <c r="R224" s="123"/>
      <c r="S224" s="123"/>
      <c r="T224" s="123"/>
      <c r="U224" s="5"/>
    </row>
    <row r="225" spans="1:21" ht="39.950000000000003" customHeight="1" thickTop="1" thickBot="1">
      <c r="A225" s="123" t="s">
        <v>17</v>
      </c>
      <c r="B225" s="123" t="s">
        <v>24</v>
      </c>
      <c r="C225" s="156" t="s">
        <v>804</v>
      </c>
      <c r="D225" s="123">
        <v>1</v>
      </c>
      <c r="E225" s="151" t="s">
        <v>659</v>
      </c>
      <c r="F225" s="123"/>
      <c r="G225" s="123" t="s">
        <v>22</v>
      </c>
      <c r="H225" s="124">
        <v>45839</v>
      </c>
      <c r="I225" s="154">
        <f t="shared" ca="1" si="21"/>
        <v>336</v>
      </c>
      <c r="J225" s="127" t="s">
        <v>664</v>
      </c>
      <c r="K225" s="123" t="s">
        <v>664</v>
      </c>
      <c r="L225" s="123"/>
      <c r="M225" s="123"/>
      <c r="N225" s="123"/>
      <c r="O225" s="123"/>
      <c r="P225" s="123"/>
      <c r="Q225" s="123"/>
      <c r="R225" s="123"/>
      <c r="S225" s="123"/>
      <c r="T225" s="123"/>
      <c r="U225" s="5"/>
    </row>
    <row r="226" spans="1:21" ht="39.950000000000003" customHeight="1" thickTop="1" thickBot="1">
      <c r="A226" s="123" t="s">
        <v>17</v>
      </c>
      <c r="B226" s="123" t="s">
        <v>60</v>
      </c>
      <c r="C226" s="156" t="s">
        <v>61</v>
      </c>
      <c r="D226" s="123">
        <v>1</v>
      </c>
      <c r="E226" s="151" t="s">
        <v>659</v>
      </c>
      <c r="F226" s="123"/>
      <c r="G226" s="123" t="s">
        <v>63</v>
      </c>
      <c r="H226" s="124">
        <v>45839</v>
      </c>
      <c r="I226" s="154">
        <f t="shared" ca="1" si="21"/>
        <v>336</v>
      </c>
      <c r="J226" s="127" t="s">
        <v>664</v>
      </c>
      <c r="K226" s="123" t="s">
        <v>664</v>
      </c>
      <c r="L226" s="123"/>
      <c r="M226" s="123"/>
      <c r="N226" s="123"/>
      <c r="O226" s="123"/>
      <c r="P226" s="123"/>
      <c r="Q226" s="123"/>
      <c r="R226" s="123"/>
      <c r="S226" s="123"/>
      <c r="T226" s="123"/>
      <c r="U226" s="5"/>
    </row>
    <row r="227" spans="1:21" ht="39.950000000000003" customHeight="1" thickTop="1" thickBot="1">
      <c r="A227" s="123" t="s">
        <v>17</v>
      </c>
      <c r="B227" s="123" t="s">
        <v>81</v>
      </c>
      <c r="C227" s="156" t="s">
        <v>82</v>
      </c>
      <c r="D227" s="123">
        <v>2</v>
      </c>
      <c r="E227" s="151" t="s">
        <v>659</v>
      </c>
      <c r="F227" s="123"/>
      <c r="G227" s="123" t="s">
        <v>791</v>
      </c>
      <c r="H227" s="124">
        <v>46163</v>
      </c>
      <c r="I227" s="154">
        <f t="shared" ca="1" si="21"/>
        <v>661</v>
      </c>
      <c r="J227" s="127" t="s">
        <v>664</v>
      </c>
      <c r="K227" s="123" t="s">
        <v>664</v>
      </c>
      <c r="L227" s="123"/>
      <c r="M227" s="123"/>
      <c r="N227" s="123"/>
      <c r="O227" s="123"/>
      <c r="P227" s="123"/>
      <c r="Q227" s="123"/>
      <c r="R227" s="123"/>
      <c r="S227" s="123"/>
      <c r="T227" s="123"/>
      <c r="U227" s="5"/>
    </row>
    <row r="228" spans="1:21" ht="39.950000000000003" customHeight="1" thickTop="1" thickBot="1">
      <c r="A228" s="123" t="s">
        <v>17</v>
      </c>
      <c r="B228" s="123" t="s">
        <v>141</v>
      </c>
      <c r="C228" s="156" t="s">
        <v>142</v>
      </c>
      <c r="D228" s="123">
        <v>2</v>
      </c>
      <c r="E228" s="151" t="s">
        <v>659</v>
      </c>
      <c r="F228" s="123"/>
      <c r="G228" s="123" t="s">
        <v>775</v>
      </c>
      <c r="H228" s="124">
        <v>46156</v>
      </c>
      <c r="I228" s="154">
        <f t="shared" ca="1" si="21"/>
        <v>654</v>
      </c>
      <c r="J228" s="127" t="s">
        <v>664</v>
      </c>
      <c r="K228" s="123" t="s">
        <v>664</v>
      </c>
      <c r="L228" s="123"/>
      <c r="M228" s="123"/>
      <c r="N228" s="123"/>
      <c r="O228" s="123"/>
      <c r="P228" s="123"/>
      <c r="Q228" s="123"/>
      <c r="R228" s="123"/>
      <c r="S228" s="123"/>
      <c r="T228" s="123"/>
      <c r="U228" s="5"/>
    </row>
    <row r="229" spans="1:21" ht="39.950000000000003" customHeight="1" thickTop="1" thickBot="1">
      <c r="A229" s="123" t="s">
        <v>17</v>
      </c>
      <c r="B229" s="123" t="s">
        <v>152</v>
      </c>
      <c r="C229" s="156" t="s">
        <v>153</v>
      </c>
      <c r="D229" s="123">
        <v>6</v>
      </c>
      <c r="E229" s="151" t="s">
        <v>659</v>
      </c>
      <c r="F229" s="123" t="s">
        <v>662</v>
      </c>
      <c r="G229" s="123" t="s">
        <v>828</v>
      </c>
      <c r="H229" s="124">
        <v>46175</v>
      </c>
      <c r="I229" s="154">
        <f t="shared" ca="1" si="21"/>
        <v>673</v>
      </c>
      <c r="J229" s="127" t="s">
        <v>664</v>
      </c>
      <c r="K229" s="123" t="s">
        <v>664</v>
      </c>
      <c r="L229" s="123"/>
      <c r="M229" s="123"/>
      <c r="N229" s="123"/>
      <c r="O229" s="123"/>
      <c r="P229" s="123"/>
      <c r="Q229" s="123"/>
      <c r="R229" s="123"/>
      <c r="S229" s="123"/>
      <c r="T229" s="123"/>
      <c r="U229" s="5"/>
    </row>
    <row r="230" spans="1:21" ht="39.950000000000003" customHeight="1" thickTop="1" thickBot="1">
      <c r="A230" s="123" t="s">
        <v>17</v>
      </c>
      <c r="B230" s="123" t="s">
        <v>173</v>
      </c>
      <c r="C230" s="156" t="s">
        <v>174</v>
      </c>
      <c r="D230" s="123">
        <v>4</v>
      </c>
      <c r="E230" s="151" t="s">
        <v>659</v>
      </c>
      <c r="F230" s="123"/>
      <c r="G230" s="123" t="s">
        <v>176</v>
      </c>
      <c r="H230" s="124">
        <v>46044</v>
      </c>
      <c r="I230" s="154">
        <f t="shared" ca="1" si="21"/>
        <v>541</v>
      </c>
      <c r="J230" s="127" t="s">
        <v>664</v>
      </c>
      <c r="K230" s="123" t="s">
        <v>664</v>
      </c>
      <c r="L230" s="123"/>
      <c r="M230" s="123"/>
      <c r="N230" s="123"/>
      <c r="O230" s="123"/>
      <c r="P230" s="123"/>
      <c r="Q230" s="123"/>
      <c r="R230" s="123"/>
      <c r="S230" s="123"/>
      <c r="T230" s="123"/>
      <c r="U230" s="5"/>
    </row>
    <row r="231" spans="1:21" ht="39.950000000000003" customHeight="1" thickTop="1" thickBot="1">
      <c r="A231" s="123" t="s">
        <v>17</v>
      </c>
      <c r="B231" s="123" t="s">
        <v>183</v>
      </c>
      <c r="C231" s="156" t="s">
        <v>184</v>
      </c>
      <c r="D231" s="123">
        <v>4</v>
      </c>
      <c r="E231" s="151" t="s">
        <v>659</v>
      </c>
      <c r="F231" s="123"/>
      <c r="G231" s="123" t="s">
        <v>186</v>
      </c>
      <c r="H231" s="124">
        <v>46122</v>
      </c>
      <c r="I231" s="154">
        <f t="shared" ca="1" si="21"/>
        <v>620</v>
      </c>
      <c r="J231" s="127" t="s">
        <v>664</v>
      </c>
      <c r="K231" s="123" t="s">
        <v>664</v>
      </c>
      <c r="L231" s="123"/>
      <c r="M231" s="123"/>
      <c r="N231" s="123"/>
      <c r="O231" s="123"/>
      <c r="P231" s="123"/>
      <c r="Q231" s="123"/>
      <c r="R231" s="123"/>
      <c r="S231" s="123"/>
      <c r="T231" s="123"/>
      <c r="U231" s="5"/>
    </row>
    <row r="232" spans="1:21" ht="39.950000000000003" customHeight="1" thickTop="1" thickBot="1">
      <c r="A232" s="123" t="s">
        <v>17</v>
      </c>
      <c r="B232" s="123" t="s">
        <v>211</v>
      </c>
      <c r="C232" s="156" t="s">
        <v>212</v>
      </c>
      <c r="D232" s="123">
        <v>4</v>
      </c>
      <c r="E232" s="151" t="s">
        <v>659</v>
      </c>
      <c r="F232" s="123"/>
      <c r="G232" s="123" t="s">
        <v>214</v>
      </c>
      <c r="H232" s="124">
        <v>45841</v>
      </c>
      <c r="I232" s="154">
        <f t="shared" ca="1" si="21"/>
        <v>338</v>
      </c>
      <c r="J232" s="127" t="s">
        <v>664</v>
      </c>
      <c r="K232" s="123" t="s">
        <v>664</v>
      </c>
      <c r="L232" s="123"/>
      <c r="M232" s="123"/>
      <c r="N232" s="123"/>
      <c r="O232" s="123"/>
      <c r="P232" s="123"/>
      <c r="Q232" s="123"/>
      <c r="R232" s="123"/>
      <c r="S232" s="123"/>
      <c r="T232" s="123"/>
      <c r="U232" s="5"/>
    </row>
    <row r="233" spans="1:21" ht="39.950000000000003" customHeight="1" thickTop="1" thickBot="1">
      <c r="A233" s="123" t="s">
        <v>17</v>
      </c>
      <c r="B233" s="123" t="s">
        <v>215</v>
      </c>
      <c r="C233" s="156" t="s">
        <v>321</v>
      </c>
      <c r="D233" s="123">
        <v>1</v>
      </c>
      <c r="E233" s="151" t="s">
        <v>659</v>
      </c>
      <c r="F233" s="123"/>
      <c r="G233" s="123" t="s">
        <v>771</v>
      </c>
      <c r="H233" s="124">
        <v>45841</v>
      </c>
      <c r="I233" s="154">
        <f t="shared" ca="1" si="21"/>
        <v>338</v>
      </c>
      <c r="J233" s="127" t="s">
        <v>664</v>
      </c>
      <c r="K233" s="123" t="s">
        <v>664</v>
      </c>
      <c r="L233" s="123"/>
      <c r="M233" s="123"/>
      <c r="N233" s="123"/>
      <c r="O233" s="123"/>
      <c r="P233" s="123"/>
      <c r="Q233" s="123"/>
      <c r="R233" s="123"/>
      <c r="S233" s="123"/>
      <c r="T233" s="123"/>
      <c r="U233" s="5"/>
    </row>
    <row r="234" spans="1:21" ht="39.950000000000003" customHeight="1" thickTop="1" thickBot="1">
      <c r="A234" s="123" t="s">
        <v>17</v>
      </c>
      <c r="B234" s="123" t="s">
        <v>218</v>
      </c>
      <c r="C234" s="156" t="s">
        <v>323</v>
      </c>
      <c r="D234" s="123">
        <v>1</v>
      </c>
      <c r="E234" s="151" t="s">
        <v>659</v>
      </c>
      <c r="F234" s="123"/>
      <c r="G234" s="123" t="s">
        <v>22</v>
      </c>
      <c r="H234" s="124">
        <v>45841</v>
      </c>
      <c r="I234" s="154">
        <f t="shared" ca="1" si="21"/>
        <v>338</v>
      </c>
      <c r="J234" s="127" t="s">
        <v>664</v>
      </c>
      <c r="K234" s="123" t="s">
        <v>664</v>
      </c>
      <c r="L234" s="123"/>
      <c r="M234" s="123"/>
      <c r="N234" s="123"/>
      <c r="O234" s="123"/>
      <c r="P234" s="123"/>
      <c r="Q234" s="123"/>
      <c r="R234" s="123"/>
      <c r="S234" s="123"/>
      <c r="T234" s="123"/>
      <c r="U234" s="5"/>
    </row>
    <row r="235" spans="1:21" ht="39.950000000000003" customHeight="1" thickTop="1" thickBot="1">
      <c r="A235" s="123" t="s">
        <v>17</v>
      </c>
      <c r="B235" s="123" t="s">
        <v>327</v>
      </c>
      <c r="C235" s="156" t="s">
        <v>328</v>
      </c>
      <c r="D235" s="123">
        <v>1</v>
      </c>
      <c r="E235" s="151" t="s">
        <v>660</v>
      </c>
      <c r="F235" s="123"/>
      <c r="G235" s="123" t="s">
        <v>16</v>
      </c>
      <c r="H235" s="124">
        <v>45841</v>
      </c>
      <c r="I235" s="154">
        <f t="shared" ca="1" si="21"/>
        <v>338</v>
      </c>
      <c r="J235" s="127" t="s">
        <v>664</v>
      </c>
      <c r="K235" s="123" t="s">
        <v>664</v>
      </c>
      <c r="L235" s="123"/>
      <c r="M235" s="123"/>
      <c r="N235" s="123"/>
      <c r="O235" s="123"/>
      <c r="P235" s="123"/>
      <c r="Q235" s="123"/>
      <c r="R235" s="123"/>
      <c r="S235" s="123"/>
      <c r="T235" s="160" t="s">
        <v>874</v>
      </c>
      <c r="U235" s="5"/>
    </row>
    <row r="236" spans="1:21" ht="39.950000000000003" customHeight="1" thickTop="1" thickBot="1">
      <c r="A236" s="123" t="s">
        <v>17</v>
      </c>
      <c r="B236" s="123" t="s">
        <v>440</v>
      </c>
      <c r="C236" s="156" t="s">
        <v>441</v>
      </c>
      <c r="D236" s="123">
        <v>5</v>
      </c>
      <c r="E236" s="151" t="s">
        <v>659</v>
      </c>
      <c r="F236" s="123"/>
      <c r="G236" s="123" t="s">
        <v>63</v>
      </c>
      <c r="H236" s="124">
        <v>46162</v>
      </c>
      <c r="I236" s="154">
        <f t="shared" ca="1" si="21"/>
        <v>660</v>
      </c>
      <c r="J236" s="127" t="s">
        <v>664</v>
      </c>
      <c r="K236" s="123" t="s">
        <v>664</v>
      </c>
      <c r="L236" s="123"/>
      <c r="M236" s="123"/>
      <c r="N236" s="123"/>
      <c r="O236" s="123"/>
      <c r="P236" s="123"/>
      <c r="Q236" s="123"/>
      <c r="R236" s="123"/>
      <c r="S236" s="123"/>
      <c r="T236" s="123"/>
      <c r="U236" s="5"/>
    </row>
    <row r="237" spans="1:21" ht="39.950000000000003" customHeight="1" thickTop="1" thickBot="1">
      <c r="A237" s="123" t="s">
        <v>17</v>
      </c>
      <c r="B237" s="123">
        <v>9</v>
      </c>
      <c r="C237" s="156" t="s">
        <v>465</v>
      </c>
      <c r="D237" s="123">
        <v>2</v>
      </c>
      <c r="E237" s="151" t="s">
        <v>660</v>
      </c>
      <c r="F237" s="123"/>
      <c r="G237" s="123" t="s">
        <v>460</v>
      </c>
      <c r="H237" s="124">
        <v>45845</v>
      </c>
      <c r="I237" s="154">
        <f t="shared" ca="1" si="21"/>
        <v>342</v>
      </c>
      <c r="J237" s="127" t="s">
        <v>664</v>
      </c>
      <c r="K237" s="123" t="s">
        <v>664</v>
      </c>
      <c r="L237" s="123"/>
      <c r="M237" s="123"/>
      <c r="N237" s="123"/>
      <c r="O237" s="123"/>
      <c r="P237" s="123"/>
      <c r="Q237" s="123"/>
      <c r="R237" s="123"/>
      <c r="S237" s="123"/>
      <c r="T237" s="123"/>
      <c r="U237" s="5"/>
    </row>
    <row r="238" spans="1:21" ht="39.950000000000003" customHeight="1" thickTop="1" thickBot="1">
      <c r="A238" s="123" t="s">
        <v>17</v>
      </c>
      <c r="B238" s="123" t="s">
        <v>471</v>
      </c>
      <c r="C238" s="156" t="s">
        <v>472</v>
      </c>
      <c r="D238" s="123">
        <v>2</v>
      </c>
      <c r="E238" s="151" t="s">
        <v>659</v>
      </c>
      <c r="F238" s="123"/>
      <c r="G238" s="123" t="s">
        <v>63</v>
      </c>
      <c r="H238" s="124">
        <v>46164</v>
      </c>
      <c r="I238" s="154">
        <f t="shared" ca="1" si="21"/>
        <v>662</v>
      </c>
      <c r="J238" s="127" t="s">
        <v>664</v>
      </c>
      <c r="K238" s="123" t="s">
        <v>664</v>
      </c>
      <c r="L238" s="123"/>
      <c r="M238" s="123"/>
      <c r="N238" s="123"/>
      <c r="O238" s="123"/>
      <c r="P238" s="123"/>
      <c r="Q238" s="123"/>
      <c r="R238" s="123"/>
      <c r="S238" s="123"/>
      <c r="T238" s="123"/>
      <c r="U238" s="5"/>
    </row>
    <row r="239" spans="1:21" ht="39.950000000000003" customHeight="1" thickTop="1" thickBot="1">
      <c r="A239" s="123" t="s">
        <v>17</v>
      </c>
      <c r="B239" s="123">
        <v>10</v>
      </c>
      <c r="C239" s="156" t="s">
        <v>806</v>
      </c>
      <c r="D239" s="123">
        <v>2</v>
      </c>
      <c r="E239" s="151" t="s">
        <v>660</v>
      </c>
      <c r="F239" s="123"/>
      <c r="G239" s="123" t="s">
        <v>483</v>
      </c>
      <c r="H239" s="124">
        <v>45845</v>
      </c>
      <c r="I239" s="154">
        <f t="shared" ca="1" si="21"/>
        <v>342</v>
      </c>
      <c r="J239" s="127" t="s">
        <v>664</v>
      </c>
      <c r="K239" s="123" t="s">
        <v>664</v>
      </c>
      <c r="L239" s="123"/>
      <c r="M239" s="123"/>
      <c r="N239" s="123"/>
      <c r="O239" s="123"/>
      <c r="P239" s="123"/>
      <c r="Q239" s="123"/>
      <c r="R239" s="123"/>
      <c r="S239" s="123"/>
      <c r="T239" s="123"/>
      <c r="U239" s="5"/>
    </row>
    <row r="240" spans="1:21" ht="39.950000000000003" customHeight="1" thickTop="1" thickBot="1">
      <c r="A240" s="123" t="s">
        <v>17</v>
      </c>
      <c r="B240" s="123" t="s">
        <v>758</v>
      </c>
      <c r="C240" s="156" t="s">
        <v>759</v>
      </c>
      <c r="D240" s="123"/>
      <c r="E240" s="151" t="s">
        <v>326</v>
      </c>
      <c r="F240" s="123"/>
      <c r="G240" s="123"/>
      <c r="H240" s="124"/>
      <c r="I240" s="154" t="str">
        <f ca="1">IF(H240="","",DATE(YEAR(H240)+2,MONTH(H240),DAY(H240))-TODAY())</f>
        <v/>
      </c>
      <c r="J240" s="127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5"/>
    </row>
    <row r="241" spans="1:21" ht="33" customHeight="1" thickTop="1" thickBot="1">
      <c r="A241" s="123" t="s">
        <v>17</v>
      </c>
      <c r="B241" s="123" t="s">
        <v>760</v>
      </c>
      <c r="C241" s="156" t="s">
        <v>761</v>
      </c>
      <c r="D241" s="123"/>
      <c r="E241" s="151" t="s">
        <v>326</v>
      </c>
      <c r="F241" s="123"/>
      <c r="G241" s="123"/>
      <c r="H241" s="124"/>
      <c r="I241" s="154" t="str">
        <f ca="1">IF(H241="","",DATE(YEAR(H241)+2,MONTH(H241),DAY(H241))-TODAY())</f>
        <v/>
      </c>
      <c r="J241" s="127"/>
      <c r="K241" s="127"/>
      <c r="L241" s="123"/>
      <c r="M241" s="123"/>
      <c r="N241" s="123"/>
      <c r="O241" s="123"/>
      <c r="P241" s="123"/>
      <c r="Q241" s="123"/>
      <c r="R241" s="123"/>
      <c r="S241" s="123"/>
      <c r="T241" s="123"/>
      <c r="U241" s="5"/>
    </row>
    <row r="242" spans="1:21" ht="32.25" customHeight="1" thickTop="1" thickBot="1">
      <c r="A242" s="99"/>
      <c r="B242" s="99"/>
      <c r="C242" s="99"/>
      <c r="D242" s="99"/>
      <c r="E242" s="99"/>
      <c r="F242" s="99"/>
      <c r="G242" s="99"/>
      <c r="H242" s="99"/>
      <c r="I242" s="99"/>
      <c r="J242" s="153"/>
      <c r="K242" s="99"/>
      <c r="L242" s="99"/>
      <c r="M242" s="99"/>
      <c r="N242" s="99"/>
      <c r="O242" s="99"/>
      <c r="P242" s="99"/>
      <c r="Q242" s="99"/>
      <c r="R242" s="99"/>
      <c r="S242" s="99"/>
      <c r="T242" s="99"/>
    </row>
    <row r="243" spans="1:21" ht="5.25" customHeight="1" thickTop="1" thickBot="1">
      <c r="A243" s="99"/>
      <c r="B243" s="99"/>
      <c r="C243" s="99"/>
      <c r="D243" s="99"/>
      <c r="E243" s="99"/>
      <c r="F243" s="99"/>
      <c r="G243" s="99"/>
      <c r="H243" s="99"/>
      <c r="I243" s="99"/>
      <c r="J243" s="153"/>
      <c r="K243" s="99"/>
      <c r="L243" s="99"/>
      <c r="M243" s="99"/>
      <c r="N243" s="99"/>
      <c r="O243" s="99"/>
      <c r="P243" s="99"/>
      <c r="Q243" s="99"/>
      <c r="R243" s="99"/>
      <c r="S243" s="99"/>
      <c r="T243" s="99"/>
    </row>
    <row r="245" spans="1:21" ht="14.25"/>
    <row r="246" spans="1:21" ht="14.25"/>
    <row r="247" spans="1:21" ht="14.25"/>
    <row r="248" spans="1:21" ht="14.25"/>
    <row r="249" spans="1:21" ht="14.25"/>
    <row r="250" spans="1:21" ht="14.25"/>
    <row r="251" spans="1:21" ht="14.25"/>
    <row r="252" spans="1:21" ht="14.25"/>
    <row r="253" spans="1:21" ht="14.25"/>
    <row r="254" spans="1:21" ht="14.25"/>
    <row r="255" spans="1:21" ht="14.25"/>
    <row r="256" spans="1:21" ht="14.25"/>
    <row r="257" ht="14.25"/>
    <row r="258" ht="14.25"/>
    <row r="259" ht="14.25"/>
    <row r="260" ht="14.25"/>
    <row r="261" ht="14.25"/>
    <row r="262"/>
  </sheetData>
  <autoFilter ref="A6:T241" xr:uid="{2E18328B-7731-41C9-B037-F68490C115CF}"/>
  <sortState ref="A7:S220">
    <sortCondition ref="A4"/>
  </sortState>
  <mergeCells count="5">
    <mergeCell ref="G4:H4"/>
    <mergeCell ref="J4:K4"/>
    <mergeCell ref="K1:K3"/>
    <mergeCell ref="A1:F3"/>
    <mergeCell ref="G3:H3"/>
  </mergeCells>
  <conditionalFormatting sqref="B6:E6 K178 K58:K139 K144:K174 K241:K1048576">
    <cfRule type="cellIs" dxfId="371" priority="550" operator="equal">
      <formula>"VERMELHO"</formula>
    </cfRule>
    <cfRule type="cellIs" dxfId="370" priority="551" operator="equal">
      <formula>"AMARELO"</formula>
    </cfRule>
    <cfRule type="cellIs" dxfId="369" priority="552" operator="equal">
      <formula>"VERDE"</formula>
    </cfRule>
  </conditionalFormatting>
  <conditionalFormatting sqref="G33:H46 G49:H50 G90:H90 D159:E161 G92:H93 H91 H51 D114:E119 G54:H57 D122:E139 D141:E141 D58:E63 D65:E76 D94:E100 D144:E155 D163:E174 D102:E112 D78:E90 D178:E291">
    <cfRule type="containsText" dxfId="368" priority="624" operator="containsText" text="SIM">
      <formula>NOT(ISERROR(SEARCH("SIM",C34)))</formula>
    </cfRule>
  </conditionalFormatting>
  <conditionalFormatting sqref="G52:H52">
    <cfRule type="containsText" dxfId="367" priority="426" operator="containsText" text="SIM">
      <formula>NOT(ISERROR(SEARCH("SIM",F54)))</formula>
    </cfRule>
  </conditionalFormatting>
  <conditionalFormatting sqref="D132:E137 D178:E195 D167:E174 D74:F82">
    <cfRule type="containsText" dxfId="366" priority="406" operator="containsText" text="NÃO">
      <formula>NOT(ISERROR(SEARCH("NÃO",#REF!)))</formula>
    </cfRule>
  </conditionalFormatting>
  <conditionalFormatting sqref="D60:F63 D69:E70 D71:F72 D73:E73 D83:E83 D159:F161 D165:E165 D166:F166 D200:F200 D202:F202 D204:F204 D206:E206 D208:F208 D210:F210 D212:E212 D214:F214 D216:F216 D218:F218 D244:F244 D246:F246 D248:F248 D250:F250 D252:F252 D254:F254 D256:F256 D258:F291 D115:F117 D118:E118 D119:F119 D138:F138 D139:E139 D163:F164 E239 D58:F58 D59:E59 D84:F90 D141:E141 D65:F68">
    <cfRule type="containsText" dxfId="365" priority="1044" operator="containsText" text="NÃO">
      <formula>NOT(ISERROR(SEARCH("NÃO",#REF!)))</formula>
    </cfRule>
  </conditionalFormatting>
  <conditionalFormatting sqref="D120:F120 D122:F131 D77:F77">
    <cfRule type="containsText" dxfId="364" priority="427" operator="containsText" text="NÃO">
      <formula>NOT(ISERROR(SEARCH("NÃO",#REF!)))</formula>
    </cfRule>
  </conditionalFormatting>
  <conditionalFormatting sqref="D144:F158">
    <cfRule type="containsText" dxfId="363" priority="447" operator="containsText" text="NÃO">
      <formula>NOT(ISERROR(SEARCH("NÃO",#REF!)))</formula>
    </cfRule>
  </conditionalFormatting>
  <conditionalFormatting sqref="D149:F150">
    <cfRule type="containsText" dxfId="362" priority="1081" operator="containsText" text="SIM">
      <formula>NOT(ISERROR(SEARCH("SIM",#REF!)))</formula>
    </cfRule>
  </conditionalFormatting>
  <conditionalFormatting sqref="D196:F196 D100:F100 D102:F107">
    <cfRule type="containsText" dxfId="361" priority="1078" operator="containsText" text="NÃO">
      <formula>NOT(ISERROR(SEARCH("NÃO",#REF!)))</formula>
    </cfRule>
  </conditionalFormatting>
  <conditionalFormatting sqref="E239 E178:E219 E7:E52 E114:E120 E141 E122:E139 E54:E63 E163:E174 E102:E112 E65:E100 E144:E161">
    <cfRule type="containsText" dxfId="360" priority="388" operator="containsText" text="EM ELABORAÇÃO">
      <formula>NOT(ISERROR(SEARCH("EM ELABORAÇÃO",E7)))</formula>
    </cfRule>
    <cfRule type="containsText" dxfId="359" priority="389" operator="containsText" text="OBSOLETO">
      <formula>NOT(ISERROR(SEARCH("OBSOLETO",E7)))</formula>
    </cfRule>
    <cfRule type="containsText" dxfId="358" priority="390" operator="containsText" text="EM REVISÃO">
      <formula>NOT(ISERROR(SEARCH("EM REVISÃO",E7)))</formula>
    </cfRule>
    <cfRule type="containsText" dxfId="357" priority="391" operator="containsText" text="APROVADO">
      <formula>NOT(ISERROR(SEARCH("APROVADO",E7)))</formula>
    </cfRule>
  </conditionalFormatting>
  <conditionalFormatting sqref="F159:F161 F163:F164 F114 H49:H52 H54:H57 F74:F76 H14:H46 F86:F90 F60:F63 F65:F68 F94:F100 F144:F155 F102:F112 F78:F82 F220:F291">
    <cfRule type="containsText" dxfId="356" priority="468" operator="containsText" text="SIM">
      <formula>NOT(ISERROR(SEARCH("SIM",D15)))</formula>
    </cfRule>
  </conditionalFormatting>
  <conditionalFormatting sqref="F196:F202 F58 F71:F72 F115:F117 F138 F166 F204:F205 F207:F210 F214:F219 F122:F131">
    <cfRule type="containsText" dxfId="355" priority="1118" operator="containsText" text="SIM">
      <formula>NOT(ISERROR(SEARCH("SIM",D59)))</formula>
    </cfRule>
  </conditionalFormatting>
  <conditionalFormatting sqref="F118">
    <cfRule type="containsText" dxfId="354" priority="466" operator="containsText" text="SIM">
      <formula>NOT(ISERROR(SEARCH("SIM",D119)))</formula>
    </cfRule>
  </conditionalFormatting>
  <conditionalFormatting sqref="F77">
    <cfRule type="containsText" dxfId="353" priority="421" operator="containsText" text="SIM">
      <formula>NOT(ISERROR(SEARCH("SIM",D124)))</formula>
    </cfRule>
  </conditionalFormatting>
  <conditionalFormatting sqref="F84:F85">
    <cfRule type="containsText" dxfId="352" priority="448" operator="containsText" text="SIM">
      <formula>NOT(ISERROR(SEARCH("SIM",D86)))</formula>
    </cfRule>
  </conditionalFormatting>
  <conditionalFormatting sqref="G6 I6">
    <cfRule type="cellIs" dxfId="351" priority="560" operator="equal">
      <formula>"VERMELHO"</formula>
    </cfRule>
    <cfRule type="cellIs" dxfId="350" priority="561" operator="equal">
      <formula>"AMARELO"</formula>
    </cfRule>
    <cfRule type="cellIs" dxfId="349" priority="562" operator="equal">
      <formula>"VERDE"</formula>
    </cfRule>
  </conditionalFormatting>
  <conditionalFormatting sqref="G7:H25">
    <cfRule type="containsText" dxfId="348" priority="386" operator="containsText" text="SIM">
      <formula>NOT(ISERROR(SEARCH("SIM",D8)))</formula>
    </cfRule>
  </conditionalFormatting>
  <conditionalFormatting sqref="G178:H195 G7:H25 G54:H57 H14:H46 G169:H174">
    <cfRule type="containsText" dxfId="347" priority="385" operator="containsText" text="NÃO">
      <formula>NOT(ISERROR(SEARCH("NÃO",F8)))</formula>
    </cfRule>
  </conditionalFormatting>
  <conditionalFormatting sqref="G88:H90 H91">
    <cfRule type="containsText" dxfId="346" priority="1122" operator="containsText" text="SIM">
      <formula>NOT(ISERROR(SEARCH("SIM",D89)))</formula>
    </cfRule>
  </conditionalFormatting>
  <conditionalFormatting sqref="G33:H33">
    <cfRule type="containsText" dxfId="345" priority="626" operator="containsText" text="NÃO">
      <formula>NOT(ISERROR(SEARCH("NÃO",C8)))</formula>
    </cfRule>
    <cfRule type="containsText" dxfId="344" priority="1123" operator="containsText" text="SIM">
      <formula>NOT(ISERROR(SEARCH("SIM",E8)))</formula>
    </cfRule>
  </conditionalFormatting>
  <conditionalFormatting sqref="G47:H48">
    <cfRule type="containsText" dxfId="343" priority="416" operator="containsText" text="SIM">
      <formula>NOT(ISERROR(SEARCH("SIM",F49)))</formula>
    </cfRule>
    <cfRule type="containsText" dxfId="342" priority="417" operator="containsText" text="NÃO">
      <formula>NOT(ISERROR(SEARCH("NÃO",F49)))</formula>
    </cfRule>
  </conditionalFormatting>
  <conditionalFormatting sqref="H7:H13">
    <cfRule type="containsText" dxfId="341" priority="397" operator="containsText" text="SIM">
      <formula>NOT(ISERROR(SEARCH("SIM",F8)))</formula>
    </cfRule>
  </conditionalFormatting>
  <conditionalFormatting sqref="G33:H46 G49:H50 G88:H90 G92:H93 H91 H51">
    <cfRule type="containsText" dxfId="340" priority="625" operator="containsText" text="NÃO">
      <formula>NOT(ISERROR(SEARCH("NÃO",F34)))</formula>
    </cfRule>
  </conditionalFormatting>
  <conditionalFormatting sqref="H47:H48">
    <cfRule type="containsText" dxfId="339" priority="419" operator="containsText" text="SIM">
      <formula>NOT(ISERROR(SEARCH("SIM",F49)))</formula>
    </cfRule>
  </conditionalFormatting>
  <conditionalFormatting sqref="H196:H201">
    <cfRule type="containsText" dxfId="338" priority="484" operator="containsText" text="NÃO">
      <formula>NOT(ISERROR(SEARCH("NÃO",G197)))</formula>
    </cfRule>
  </conditionalFormatting>
  <conditionalFormatting sqref="I180:I183 I178 I47:I52 I161:I165 I174 I93:I94 I114:I119 I54:I63 I100 I65:I69 I96:I98 I122:I139 I84:I91 I167:I172 I7:I44 I102:I112 I185:I192 I194:I239 I71:I80 I141:I159">
    <cfRule type="cellIs" dxfId="337" priority="392" operator="lessThan">
      <formula>0</formula>
    </cfRule>
    <cfRule type="cellIs" dxfId="336" priority="393" operator="between">
      <formula>30</formula>
      <formula>0</formula>
    </cfRule>
    <cfRule type="cellIs" dxfId="335" priority="394" operator="between">
      <formula>31</formula>
      <formula>90</formula>
    </cfRule>
  </conditionalFormatting>
  <conditionalFormatting sqref="T178:T219 T141 T7:T52 T54:T139 T144:T174">
    <cfRule type="containsText" dxfId="334" priority="400" operator="containsText" text="OK">
      <formula>NOT(ISERROR(SEARCH("OK",T7)))</formula>
    </cfRule>
  </conditionalFormatting>
  <conditionalFormatting sqref="J42:J46 J49:J52 J141 J122:J139 J10:J40 J54:J76 J144:J155 J78:J120">
    <cfRule type="containsText" dxfId="333" priority="395" operator="containsText" text="SIM">
      <formula>NOT(ISERROR(SEARCH("SIM",F11)))</formula>
    </cfRule>
    <cfRule type="containsText" dxfId="332" priority="398" operator="containsText" text="NÃO">
      <formula>NOT(ISERROR(SEARCH("NÃO",G11)))</formula>
    </cfRule>
  </conditionalFormatting>
  <conditionalFormatting sqref="J47:J48">
    <cfRule type="containsText" dxfId="331" priority="420" operator="containsText" text="NÃO">
      <formula>NOT(ISERROR(SEARCH("NÃO",G49)))</formula>
    </cfRule>
  </conditionalFormatting>
  <conditionalFormatting sqref="J157:J158">
    <cfRule type="containsText" dxfId="330" priority="445" operator="containsText" text="SIM">
      <formula>NOT(ISERROR(SEARCH("SIM",F160)))</formula>
    </cfRule>
    <cfRule type="containsText" dxfId="329" priority="449" operator="containsText" text="NÃO">
      <formula>NOT(ISERROR(SEARCH("NÃO",G160)))</formula>
    </cfRule>
  </conditionalFormatting>
  <conditionalFormatting sqref="J159:J174 J178:J241">
    <cfRule type="containsText" dxfId="328" priority="1121" operator="containsText" text="NÃO">
      <formula>NOT(ISERROR(SEARCH("NÃO",G160)))</formula>
    </cfRule>
  </conditionalFormatting>
  <conditionalFormatting sqref="J47:K48">
    <cfRule type="containsText" dxfId="327" priority="415" operator="containsText" text="SIM">
      <formula>NOT(ISERROR(SEARCH("SIM",F49)))</formula>
    </cfRule>
  </conditionalFormatting>
  <conditionalFormatting sqref="K6">
    <cfRule type="cellIs" dxfId="326" priority="612" operator="equal">
      <formula>"VERMELHO"</formula>
    </cfRule>
    <cfRule type="cellIs" dxfId="325" priority="613" operator="equal">
      <formula>"AMARELO"</formula>
    </cfRule>
    <cfRule type="cellIs" dxfId="324" priority="614" operator="equal">
      <formula>"VERDE"</formula>
    </cfRule>
  </conditionalFormatting>
  <conditionalFormatting sqref="K30:K40 K42:K46 K49:K52 K54:K57 J159:J174 J178:J241">
    <cfRule type="containsText" dxfId="323" priority="619" operator="containsText" text="SIM">
      <formula>NOT(ISERROR(SEARCH("SIM",F31)))</formula>
    </cfRule>
  </conditionalFormatting>
  <conditionalFormatting sqref="K47:K48">
    <cfRule type="containsText" dxfId="322" priority="418" operator="containsText" text="NÃO">
      <formula>NOT(ISERROR(SEARCH("NÃO",G49)))</formula>
    </cfRule>
  </conditionalFormatting>
  <conditionalFormatting sqref="K30:K40 K42:K46 K49:K52 K54:K57">
    <cfRule type="containsText" dxfId="321" priority="1082" operator="containsText" text="NÃO">
      <formula>NOT(ISERROR(SEARCH("NÃO",G31)))</formula>
    </cfRule>
  </conditionalFormatting>
  <conditionalFormatting sqref="K54">
    <cfRule type="containsText" dxfId="320" priority="630" operator="containsText" text="NÃO">
      <formula>NOT(ISERROR(SEARCH("NÃO",C17)))</formula>
    </cfRule>
    <cfRule type="containsText" dxfId="319" priority="640" operator="containsText" text="SIM">
      <formula>NOT(ISERROR(SEARCH("SIM",C17)))</formula>
    </cfRule>
  </conditionalFormatting>
  <conditionalFormatting sqref="K141">
    <cfRule type="cellIs" dxfId="318" priority="442" operator="equal">
      <formula>"VERMELHO"</formula>
    </cfRule>
    <cfRule type="cellIs" dxfId="317" priority="443" operator="equal">
      <formula>"AMARELO"</formula>
    </cfRule>
    <cfRule type="cellIs" dxfId="316" priority="444" operator="equal">
      <formula>"VERDE"</formula>
    </cfRule>
  </conditionalFormatting>
  <conditionalFormatting sqref="T6">
    <cfRule type="cellIs" dxfId="315" priority="557" operator="equal">
      <formula>"VERMELHO"</formula>
    </cfRule>
    <cfRule type="cellIs" dxfId="314" priority="558" operator="equal">
      <formula>"AMARELO"</formula>
    </cfRule>
    <cfRule type="cellIs" dxfId="313" priority="559" operator="equal">
      <formula>"VERDE"</formula>
    </cfRule>
  </conditionalFormatting>
  <conditionalFormatting sqref="D162:E162">
    <cfRule type="containsText" dxfId="312" priority="383" operator="containsText" text="SIM">
      <formula>NOT(ISERROR(SEARCH("SIM",C163)))</formula>
    </cfRule>
  </conditionalFormatting>
  <conditionalFormatting sqref="D162:F162">
    <cfRule type="containsText" dxfId="311" priority="384" operator="containsText" text="NÃO">
      <formula>NOT(ISERROR(SEARCH("NÃO",#REF!)))</formula>
    </cfRule>
  </conditionalFormatting>
  <conditionalFormatting sqref="E162">
    <cfRule type="containsText" dxfId="310" priority="378" operator="containsText" text="EM ELABORAÇÃO">
      <formula>NOT(ISERROR(SEARCH("EM ELABORAÇÃO",E162)))</formula>
    </cfRule>
    <cfRule type="containsText" dxfId="309" priority="379" operator="containsText" text="OBSOLETO">
      <formula>NOT(ISERROR(SEARCH("OBSOLETO",E162)))</formula>
    </cfRule>
    <cfRule type="containsText" dxfId="308" priority="380" operator="containsText" text="EM REVISÃO">
      <formula>NOT(ISERROR(SEARCH("EM REVISÃO",E162)))</formula>
    </cfRule>
    <cfRule type="containsText" dxfId="307" priority="381" operator="containsText" text="APROVADO">
      <formula>NOT(ISERROR(SEARCH("APROVADO",E162)))</formula>
    </cfRule>
  </conditionalFormatting>
  <conditionalFormatting sqref="F162">
    <cfRule type="containsText" dxfId="306" priority="382" operator="containsText" text="SIM">
      <formula>NOT(ISERROR(SEARCH("SIM",D163)))</formula>
    </cfRule>
  </conditionalFormatting>
  <conditionalFormatting sqref="E220:E241">
    <cfRule type="containsText" dxfId="305" priority="363" operator="containsText" text="EM ELABORAÇÃO">
      <formula>NOT(ISERROR(SEARCH("EM ELABORAÇÃO",E220)))</formula>
    </cfRule>
    <cfRule type="containsText" dxfId="304" priority="364" operator="containsText" text="OBSOLETO">
      <formula>NOT(ISERROR(SEARCH("OBSOLETO",E220)))</formula>
    </cfRule>
    <cfRule type="containsText" dxfId="303" priority="365" operator="containsText" text="EM REVISÃO">
      <formula>NOT(ISERROR(SEARCH("EM REVISÃO",E220)))</formula>
    </cfRule>
    <cfRule type="containsText" dxfId="302" priority="366" operator="containsText" text="APROVADO">
      <formula>NOT(ISERROR(SEARCH("APROVADO",E220)))</formula>
    </cfRule>
  </conditionalFormatting>
  <conditionalFormatting sqref="T224:T234 T236:T241">
    <cfRule type="containsText" dxfId="301" priority="362" operator="containsText" text="OK">
      <formula>NOT(ISERROR(SEARCH("OK",T224)))</formula>
    </cfRule>
  </conditionalFormatting>
  <conditionalFormatting sqref="D142:E142">
    <cfRule type="containsText" dxfId="300" priority="344" operator="containsText" text="SIM">
      <formula>NOT(ISERROR(SEARCH("SIM",C143)))</formula>
    </cfRule>
  </conditionalFormatting>
  <conditionalFormatting sqref="D142:E142">
    <cfRule type="containsText" dxfId="299" priority="345" operator="containsText" text="NÃO">
      <formula>NOT(ISERROR(SEARCH("NÃO",#REF!)))</formula>
    </cfRule>
  </conditionalFormatting>
  <conditionalFormatting sqref="E142">
    <cfRule type="containsText" dxfId="298" priority="332" operator="containsText" text="EM ELABORAÇÃO">
      <formula>NOT(ISERROR(SEARCH("EM ELABORAÇÃO",E142)))</formula>
    </cfRule>
    <cfRule type="containsText" dxfId="297" priority="333" operator="containsText" text="OBSOLETO">
      <formula>NOT(ISERROR(SEARCH("OBSOLETO",E142)))</formula>
    </cfRule>
    <cfRule type="containsText" dxfId="296" priority="334" operator="containsText" text="EM REVISÃO">
      <formula>NOT(ISERROR(SEARCH("EM REVISÃO",E142)))</formula>
    </cfRule>
    <cfRule type="containsText" dxfId="295" priority="335" operator="containsText" text="APROVADO">
      <formula>NOT(ISERROR(SEARCH("APROVADO",E142)))</formula>
    </cfRule>
  </conditionalFormatting>
  <conditionalFormatting sqref="J142">
    <cfRule type="containsText" dxfId="294" priority="336" operator="containsText" text="SIM">
      <formula>NOT(ISERROR(SEARCH("SIM",F143)))</formula>
    </cfRule>
    <cfRule type="containsText" dxfId="293" priority="337" operator="containsText" text="NÃO">
      <formula>NOT(ISERROR(SEARCH("NÃO",G143)))</formula>
    </cfRule>
  </conditionalFormatting>
  <conditionalFormatting sqref="K142">
    <cfRule type="cellIs" dxfId="292" priority="341" operator="equal">
      <formula>"VERMELHO"</formula>
    </cfRule>
    <cfRule type="cellIs" dxfId="291" priority="342" operator="equal">
      <formula>"AMARELO"</formula>
    </cfRule>
    <cfRule type="cellIs" dxfId="290" priority="343" operator="equal">
      <formula>"VERDE"</formula>
    </cfRule>
  </conditionalFormatting>
  <conditionalFormatting sqref="T142">
    <cfRule type="containsText" dxfId="289" priority="331" operator="containsText" text="OK">
      <formula>NOT(ISERROR(SEARCH("OK",T142)))</formula>
    </cfRule>
  </conditionalFormatting>
  <conditionalFormatting sqref="D143">
    <cfRule type="containsText" dxfId="288" priority="318" operator="containsText" text="SIM">
      <formula>NOT(ISERROR(SEARCH("SIM",C144)))</formula>
    </cfRule>
  </conditionalFormatting>
  <conditionalFormatting sqref="D143">
    <cfRule type="containsText" dxfId="287" priority="319" operator="containsText" text="NÃO">
      <formula>NOT(ISERROR(SEARCH("NÃO",#REF!)))</formula>
    </cfRule>
  </conditionalFormatting>
  <conditionalFormatting sqref="J143">
    <cfRule type="containsText" dxfId="286" priority="310" operator="containsText" text="SIM">
      <formula>NOT(ISERROR(SEARCH("SIM",F144)))</formula>
    </cfRule>
    <cfRule type="containsText" dxfId="285" priority="311" operator="containsText" text="NÃO">
      <formula>NOT(ISERROR(SEARCH("NÃO",G144)))</formula>
    </cfRule>
  </conditionalFormatting>
  <conditionalFormatting sqref="K143">
    <cfRule type="cellIs" dxfId="284" priority="315" operator="equal">
      <formula>"VERMELHO"</formula>
    </cfRule>
    <cfRule type="cellIs" dxfId="283" priority="316" operator="equal">
      <formula>"AMARELO"</formula>
    </cfRule>
    <cfRule type="cellIs" dxfId="282" priority="317" operator="equal">
      <formula>"VERDE"</formula>
    </cfRule>
  </conditionalFormatting>
  <conditionalFormatting sqref="K7">
    <cfRule type="cellIs" dxfId="281" priority="300" operator="equal">
      <formula>"VERMELHO"</formula>
    </cfRule>
    <cfRule type="cellIs" dxfId="280" priority="301" operator="equal">
      <formula>"AMARELO"</formula>
    </cfRule>
    <cfRule type="cellIs" dxfId="279" priority="302" operator="equal">
      <formula>"VERDE"</formula>
    </cfRule>
  </conditionalFormatting>
  <conditionalFormatting sqref="J7">
    <cfRule type="containsText" dxfId="278" priority="304" operator="containsText" text="NÃO">
      <formula>NOT(ISERROR(SEARCH("NÃO",G8)))</formula>
    </cfRule>
  </conditionalFormatting>
  <conditionalFormatting sqref="J7">
    <cfRule type="containsText" dxfId="277" priority="303" operator="containsText" text="SIM">
      <formula>NOT(ISERROR(SEARCH("SIM",F8)))</formula>
    </cfRule>
  </conditionalFormatting>
  <conditionalFormatting sqref="K8">
    <cfRule type="cellIs" dxfId="276" priority="295" operator="equal">
      <formula>"VERMELHO"</formula>
    </cfRule>
    <cfRule type="cellIs" dxfId="275" priority="296" operator="equal">
      <formula>"AMARELO"</formula>
    </cfRule>
    <cfRule type="cellIs" dxfId="274" priority="297" operator="equal">
      <formula>"VERDE"</formula>
    </cfRule>
  </conditionalFormatting>
  <conditionalFormatting sqref="J8">
    <cfRule type="containsText" dxfId="273" priority="299" operator="containsText" text="NÃO">
      <formula>NOT(ISERROR(SEARCH("NÃO",G9)))</formula>
    </cfRule>
  </conditionalFormatting>
  <conditionalFormatting sqref="J8">
    <cfRule type="containsText" dxfId="272" priority="298" operator="containsText" text="SIM">
      <formula>NOT(ISERROR(SEARCH("SIM",F9)))</formula>
    </cfRule>
  </conditionalFormatting>
  <conditionalFormatting sqref="K9">
    <cfRule type="cellIs" dxfId="271" priority="290" operator="equal">
      <formula>"VERMELHO"</formula>
    </cfRule>
    <cfRule type="cellIs" dxfId="270" priority="291" operator="equal">
      <formula>"AMARELO"</formula>
    </cfRule>
    <cfRule type="cellIs" dxfId="269" priority="292" operator="equal">
      <formula>"VERDE"</formula>
    </cfRule>
  </conditionalFormatting>
  <conditionalFormatting sqref="J9">
    <cfRule type="containsText" dxfId="268" priority="294" operator="containsText" text="NÃO">
      <formula>NOT(ISERROR(SEARCH("NÃO",G10)))</formula>
    </cfRule>
  </conditionalFormatting>
  <conditionalFormatting sqref="J9">
    <cfRule type="containsText" dxfId="267" priority="293" operator="containsText" text="SIM">
      <formula>NOT(ISERROR(SEARCH("SIM",F10)))</formula>
    </cfRule>
  </conditionalFormatting>
  <conditionalFormatting sqref="K179:K240">
    <cfRule type="cellIs" dxfId="266" priority="285" operator="equal">
      <formula>"VERMELHO"</formula>
    </cfRule>
    <cfRule type="cellIs" dxfId="265" priority="286" operator="equal">
      <formula>"AMARELO"</formula>
    </cfRule>
    <cfRule type="cellIs" dxfId="264" priority="287" operator="equal">
      <formula>"VERDE"</formula>
    </cfRule>
  </conditionalFormatting>
  <conditionalFormatting sqref="K41">
    <cfRule type="cellIs" dxfId="263" priority="280" operator="equal">
      <formula>"VERMELHO"</formula>
    </cfRule>
    <cfRule type="cellIs" dxfId="262" priority="281" operator="equal">
      <formula>"AMARELO"</formula>
    </cfRule>
    <cfRule type="cellIs" dxfId="261" priority="282" operator="equal">
      <formula>"VERDE"</formula>
    </cfRule>
  </conditionalFormatting>
  <conditionalFormatting sqref="J41">
    <cfRule type="containsText" dxfId="260" priority="279" operator="containsText" text="NÃO">
      <formula>NOT(ISERROR(SEARCH("NÃO",G42)))</formula>
    </cfRule>
  </conditionalFormatting>
  <conditionalFormatting sqref="J41">
    <cfRule type="containsText" dxfId="259" priority="278" operator="containsText" text="SIM">
      <formula>NOT(ISERROR(SEARCH("SIM",F42)))</formula>
    </cfRule>
  </conditionalFormatting>
  <conditionalFormatting sqref="E91">
    <cfRule type="containsText" dxfId="258" priority="276" operator="containsText" text="SIM">
      <formula>NOT(ISERROR(SEARCH("SIM",D92)))</formula>
    </cfRule>
  </conditionalFormatting>
  <conditionalFormatting sqref="E91">
    <cfRule type="containsText" dxfId="257" priority="277" operator="containsText" text="NÃO">
      <formula>NOT(ISERROR(SEARCH("NÃO",#REF!)))</formula>
    </cfRule>
  </conditionalFormatting>
  <conditionalFormatting sqref="E97">
    <cfRule type="containsText" dxfId="256" priority="274" operator="containsText" text="SIM">
      <formula>NOT(ISERROR(SEARCH("SIM",D98)))</formula>
    </cfRule>
  </conditionalFormatting>
  <conditionalFormatting sqref="E97">
    <cfRule type="containsText" dxfId="255" priority="275" operator="containsText" text="NÃO">
      <formula>NOT(ISERROR(SEARCH("NÃO",#REF!)))</formula>
    </cfRule>
  </conditionalFormatting>
  <conditionalFormatting sqref="E98">
    <cfRule type="containsText" dxfId="254" priority="272" operator="containsText" text="SIM">
      <formula>NOT(ISERROR(SEARCH("SIM",D99)))</formula>
    </cfRule>
  </conditionalFormatting>
  <conditionalFormatting sqref="E98">
    <cfRule type="containsText" dxfId="253" priority="273" operator="containsText" text="NÃO">
      <formula>NOT(ISERROR(SEARCH("NÃO",#REF!)))</formula>
    </cfRule>
  </conditionalFormatting>
  <conditionalFormatting sqref="E125">
    <cfRule type="containsText" dxfId="252" priority="271" operator="containsText" text="NÃO">
      <formula>NOT(ISERROR(SEARCH("NÃO",#REF!)))</formula>
    </cfRule>
  </conditionalFormatting>
  <conditionalFormatting sqref="K175:K176">
    <cfRule type="cellIs" dxfId="251" priority="265" operator="equal">
      <formula>"VERMELHO"</formula>
    </cfRule>
    <cfRule type="cellIs" dxfId="250" priority="266" operator="equal">
      <formula>"AMARELO"</formula>
    </cfRule>
    <cfRule type="cellIs" dxfId="249" priority="267" operator="equal">
      <formula>"VERDE"</formula>
    </cfRule>
  </conditionalFormatting>
  <conditionalFormatting sqref="D175:E175">
    <cfRule type="containsText" dxfId="248" priority="269" operator="containsText" text="SIM">
      <formula>NOT(ISERROR(SEARCH("SIM",C178)))</formula>
    </cfRule>
  </conditionalFormatting>
  <conditionalFormatting sqref="D175:E175">
    <cfRule type="containsText" dxfId="247" priority="264" operator="containsText" text="NÃO">
      <formula>NOT(ISERROR(SEARCH("NÃO",#REF!)))</formula>
    </cfRule>
  </conditionalFormatting>
  <conditionalFormatting sqref="E175">
    <cfRule type="containsText" dxfId="246" priority="256" operator="containsText" text="EM ELABORAÇÃO">
      <formula>NOT(ISERROR(SEARCH("EM ELABORAÇÃO",E175)))</formula>
    </cfRule>
    <cfRule type="containsText" dxfId="245" priority="257" operator="containsText" text="OBSOLETO">
      <formula>NOT(ISERROR(SEARCH("OBSOLETO",E175)))</formula>
    </cfRule>
    <cfRule type="containsText" dxfId="244" priority="258" operator="containsText" text="EM REVISÃO">
      <formula>NOT(ISERROR(SEARCH("EM REVISÃO",E175)))</formula>
    </cfRule>
    <cfRule type="containsText" dxfId="243" priority="259" operator="containsText" text="APROVADO">
      <formula>NOT(ISERROR(SEARCH("APROVADO",E175)))</formula>
    </cfRule>
  </conditionalFormatting>
  <conditionalFormatting sqref="G175:H175">
    <cfRule type="containsText" dxfId="242" priority="255" operator="containsText" text="NÃO">
      <formula>NOT(ISERROR(SEARCH("NÃO",F178)))</formula>
    </cfRule>
  </conditionalFormatting>
  <conditionalFormatting sqref="I175">
    <cfRule type="cellIs" dxfId="241" priority="260" operator="lessThan">
      <formula>0</formula>
    </cfRule>
    <cfRule type="cellIs" dxfId="240" priority="261" operator="between">
      <formula>30</formula>
      <formula>0</formula>
    </cfRule>
    <cfRule type="cellIs" dxfId="239" priority="262" operator="between">
      <formula>31</formula>
      <formula>90</formula>
    </cfRule>
  </conditionalFormatting>
  <conditionalFormatting sqref="T175:T176">
    <cfRule type="containsText" dxfId="238" priority="263" operator="containsText" text="OK">
      <formula>NOT(ISERROR(SEARCH("OK",T175)))</formula>
    </cfRule>
  </conditionalFormatting>
  <conditionalFormatting sqref="J175:J176">
    <cfRule type="containsText" dxfId="237" priority="270" operator="containsText" text="NÃO">
      <formula>NOT(ISERROR(SEARCH("NÃO",G178)))</formula>
    </cfRule>
  </conditionalFormatting>
  <conditionalFormatting sqref="J175:J176">
    <cfRule type="containsText" dxfId="236" priority="268" operator="containsText" text="SIM">
      <formula>NOT(ISERROR(SEARCH("SIM",F178)))</formula>
    </cfRule>
  </conditionalFormatting>
  <conditionalFormatting sqref="E40">
    <cfRule type="containsText" dxfId="235" priority="251" operator="containsText" text="SIM">
      <formula>NOT(ISERROR(SEARCH("SIM",D41)))</formula>
    </cfRule>
  </conditionalFormatting>
  <conditionalFormatting sqref="E40">
    <cfRule type="containsText" dxfId="234" priority="252" operator="containsText" text="NÃO">
      <formula>NOT(ISERROR(SEARCH("NÃO",#REF!)))</formula>
    </cfRule>
  </conditionalFormatting>
  <conditionalFormatting sqref="E93">
    <cfRule type="containsText" dxfId="233" priority="249" operator="containsText" text="SIM">
      <formula>NOT(ISERROR(SEARCH("SIM",D94)))</formula>
    </cfRule>
  </conditionalFormatting>
  <conditionalFormatting sqref="E93">
    <cfRule type="containsText" dxfId="232" priority="250" operator="containsText" text="NÃO">
      <formula>NOT(ISERROR(SEARCH("NÃO",#REF!)))</formula>
    </cfRule>
  </conditionalFormatting>
  <conditionalFormatting sqref="E94">
    <cfRule type="containsText" dxfId="231" priority="247" operator="containsText" text="SIM">
      <formula>NOT(ISERROR(SEARCH("SIM",D95)))</formula>
    </cfRule>
  </conditionalFormatting>
  <conditionalFormatting sqref="E94">
    <cfRule type="containsText" dxfId="230" priority="248" operator="containsText" text="NÃO">
      <formula>NOT(ISERROR(SEARCH("NÃO",#REF!)))</formula>
    </cfRule>
  </conditionalFormatting>
  <conditionalFormatting sqref="E100">
    <cfRule type="containsText" dxfId="229" priority="245" operator="containsText" text="SIM">
      <formula>NOT(ISERROR(SEARCH("SIM",D102)))</formula>
    </cfRule>
  </conditionalFormatting>
  <conditionalFormatting sqref="E100">
    <cfRule type="containsText" dxfId="228" priority="246" operator="containsText" text="NÃO">
      <formula>NOT(ISERROR(SEARCH("NÃO",#REF!)))</formula>
    </cfRule>
  </conditionalFormatting>
  <conditionalFormatting sqref="E77">
    <cfRule type="containsText" dxfId="227" priority="243" operator="containsText" text="SIM">
      <formula>NOT(ISERROR(SEARCH("SIM",D122)))</formula>
    </cfRule>
  </conditionalFormatting>
  <conditionalFormatting sqref="E77">
    <cfRule type="containsText" dxfId="226" priority="244" operator="containsText" text="NÃO">
      <formula>NOT(ISERROR(SEARCH("NÃO",#REF!)))</formula>
    </cfRule>
  </conditionalFormatting>
  <conditionalFormatting sqref="E130">
    <cfRule type="containsText" dxfId="225" priority="242" operator="containsText" text="NÃO">
      <formula>NOT(ISERROR(SEARCH("NÃO",#REF!)))</formula>
    </cfRule>
  </conditionalFormatting>
  <conditionalFormatting sqref="E143">
    <cfRule type="containsText" dxfId="224" priority="240" operator="containsText" text="SIM">
      <formula>NOT(ISERROR(SEARCH("SIM",D144)))</formula>
    </cfRule>
  </conditionalFormatting>
  <conditionalFormatting sqref="E143">
    <cfRule type="containsText" dxfId="223" priority="241" operator="containsText" text="NÃO">
      <formula>NOT(ISERROR(SEARCH("NÃO",#REF!)))</formula>
    </cfRule>
  </conditionalFormatting>
  <conditionalFormatting sqref="E143">
    <cfRule type="containsText" dxfId="222" priority="236" operator="containsText" text="EM ELABORAÇÃO">
      <formula>NOT(ISERROR(SEARCH("EM ELABORAÇÃO",E143)))</formula>
    </cfRule>
    <cfRule type="containsText" dxfId="221" priority="237" operator="containsText" text="OBSOLETO">
      <formula>NOT(ISERROR(SEARCH("OBSOLETO",E143)))</formula>
    </cfRule>
    <cfRule type="containsText" dxfId="220" priority="238" operator="containsText" text="EM REVISÃO">
      <formula>NOT(ISERROR(SEARCH("EM REVISÃO",E143)))</formula>
    </cfRule>
    <cfRule type="containsText" dxfId="219" priority="239" operator="containsText" text="APROVADO">
      <formula>NOT(ISERROR(SEARCH("APROVADO",E143)))</formula>
    </cfRule>
  </conditionalFormatting>
  <conditionalFormatting sqref="E207">
    <cfRule type="containsText" dxfId="218" priority="235" operator="containsText" text="NÃO">
      <formula>NOT(ISERROR(SEARCH("NÃO",#REF!)))</formula>
    </cfRule>
  </conditionalFormatting>
  <conditionalFormatting sqref="E235">
    <cfRule type="containsText" dxfId="217" priority="231" operator="containsText" text="EM ELABORAÇÃO">
      <formula>NOT(ISERROR(SEARCH("EM ELABORAÇÃO",E235)))</formula>
    </cfRule>
    <cfRule type="containsText" dxfId="216" priority="232" operator="containsText" text="OBSOLETO">
      <formula>NOT(ISERROR(SEARCH("OBSOLETO",E235)))</formula>
    </cfRule>
    <cfRule type="containsText" dxfId="215" priority="233" operator="containsText" text="EM REVISÃO">
      <formula>NOT(ISERROR(SEARCH("EM REVISÃO",E235)))</formula>
    </cfRule>
    <cfRule type="containsText" dxfId="214" priority="234" operator="containsText" text="APROVADO">
      <formula>NOT(ISERROR(SEARCH("APROVADO",E235)))</formula>
    </cfRule>
  </conditionalFormatting>
  <conditionalFormatting sqref="E235">
    <cfRule type="containsText" dxfId="213" priority="230" operator="containsText" text="NÃO">
      <formula>NOT(ISERROR(SEARCH("NÃO",#REF!)))</formula>
    </cfRule>
  </conditionalFormatting>
  <conditionalFormatting sqref="I241">
    <cfRule type="cellIs" dxfId="212" priority="224" operator="lessThan">
      <formula>0</formula>
    </cfRule>
    <cfRule type="cellIs" dxfId="211" priority="225" operator="between">
      <formula>30</formula>
      <formula>0</formula>
    </cfRule>
    <cfRule type="cellIs" dxfId="210" priority="226" operator="between">
      <formula>31</formula>
      <formula>90</formula>
    </cfRule>
  </conditionalFormatting>
  <conditionalFormatting sqref="I240">
    <cfRule type="cellIs" dxfId="209" priority="221" operator="lessThan">
      <formula>0</formula>
    </cfRule>
    <cfRule type="cellIs" dxfId="208" priority="222" operator="between">
      <formula>30</formula>
      <formula>0</formula>
    </cfRule>
    <cfRule type="cellIs" dxfId="207" priority="223" operator="between">
      <formula>31</formula>
      <formula>90</formula>
    </cfRule>
  </conditionalFormatting>
  <conditionalFormatting sqref="I45">
    <cfRule type="cellIs" dxfId="206" priority="218" operator="lessThan">
      <formula>0</formula>
    </cfRule>
    <cfRule type="cellIs" dxfId="205" priority="219" operator="between">
      <formula>30</formula>
      <formula>0</formula>
    </cfRule>
    <cfRule type="cellIs" dxfId="204" priority="220" operator="between">
      <formula>31</formula>
      <formula>90</formula>
    </cfRule>
  </conditionalFormatting>
  <conditionalFormatting sqref="I46">
    <cfRule type="cellIs" dxfId="203" priority="215" operator="lessThan">
      <formula>0</formula>
    </cfRule>
    <cfRule type="cellIs" dxfId="202" priority="216" operator="between">
      <formula>30</formula>
      <formula>0</formula>
    </cfRule>
    <cfRule type="cellIs" dxfId="201" priority="217" operator="between">
      <formula>31</formula>
      <formula>90</formula>
    </cfRule>
  </conditionalFormatting>
  <conditionalFormatting sqref="I70">
    <cfRule type="cellIs" dxfId="200" priority="212" operator="lessThan">
      <formula>0</formula>
    </cfRule>
    <cfRule type="cellIs" dxfId="199" priority="213" operator="between">
      <formula>30</formula>
      <formula>0</formula>
    </cfRule>
    <cfRule type="cellIs" dxfId="198" priority="214" operator="between">
      <formula>31</formula>
      <formula>90</formula>
    </cfRule>
  </conditionalFormatting>
  <conditionalFormatting sqref="I81:I82">
    <cfRule type="cellIs" dxfId="197" priority="209" operator="lessThan">
      <formula>0</formula>
    </cfRule>
    <cfRule type="cellIs" dxfId="196" priority="210" operator="between">
      <formula>30</formula>
      <formula>0</formula>
    </cfRule>
    <cfRule type="cellIs" dxfId="195" priority="211" operator="between">
      <formula>31</formula>
      <formula>90</formula>
    </cfRule>
  </conditionalFormatting>
  <conditionalFormatting sqref="I83">
    <cfRule type="cellIs" dxfId="194" priority="206" operator="lessThan">
      <formula>0</formula>
    </cfRule>
    <cfRule type="cellIs" dxfId="193" priority="207" operator="between">
      <formula>30</formula>
      <formula>0</formula>
    </cfRule>
    <cfRule type="cellIs" dxfId="192" priority="208" operator="between">
      <formula>31</formula>
      <formula>90</formula>
    </cfRule>
  </conditionalFormatting>
  <conditionalFormatting sqref="I92">
    <cfRule type="cellIs" dxfId="191" priority="203" operator="lessThan">
      <formula>0</formula>
    </cfRule>
    <cfRule type="cellIs" dxfId="190" priority="204" operator="between">
      <formula>30</formula>
      <formula>0</formula>
    </cfRule>
    <cfRule type="cellIs" dxfId="189" priority="205" operator="between">
      <formula>31</formula>
      <formula>90</formula>
    </cfRule>
  </conditionalFormatting>
  <conditionalFormatting sqref="I95">
    <cfRule type="cellIs" dxfId="188" priority="200" operator="lessThan">
      <formula>0</formula>
    </cfRule>
    <cfRule type="cellIs" dxfId="187" priority="201" operator="between">
      <formula>30</formula>
      <formula>0</formula>
    </cfRule>
    <cfRule type="cellIs" dxfId="186" priority="202" operator="between">
      <formula>31</formula>
      <formula>90</formula>
    </cfRule>
  </conditionalFormatting>
  <conditionalFormatting sqref="I99">
    <cfRule type="cellIs" dxfId="185" priority="197" operator="lessThan">
      <formula>0</formula>
    </cfRule>
    <cfRule type="cellIs" dxfId="184" priority="198" operator="between">
      <formula>30</formula>
      <formula>0</formula>
    </cfRule>
    <cfRule type="cellIs" dxfId="183" priority="199" operator="between">
      <formula>31</formula>
      <formula>90</formula>
    </cfRule>
  </conditionalFormatting>
  <conditionalFormatting sqref="I120">
    <cfRule type="cellIs" dxfId="182" priority="194" operator="lessThan">
      <formula>0</formula>
    </cfRule>
    <cfRule type="cellIs" dxfId="181" priority="195" operator="between">
      <formula>30</formula>
      <formula>0</formula>
    </cfRule>
    <cfRule type="cellIs" dxfId="180" priority="196" operator="between">
      <formula>31</formula>
      <formula>90</formula>
    </cfRule>
  </conditionalFormatting>
  <conditionalFormatting sqref="I160">
    <cfRule type="cellIs" dxfId="179" priority="191" operator="lessThan">
      <formula>0</formula>
    </cfRule>
    <cfRule type="cellIs" dxfId="178" priority="192" operator="between">
      <formula>30</formula>
      <formula>0</formula>
    </cfRule>
    <cfRule type="cellIs" dxfId="177" priority="193" operator="between">
      <formula>31</formula>
      <formula>90</formula>
    </cfRule>
  </conditionalFormatting>
  <conditionalFormatting sqref="I166">
    <cfRule type="cellIs" dxfId="176" priority="188" operator="lessThan">
      <formula>0</formula>
    </cfRule>
    <cfRule type="cellIs" dxfId="175" priority="189" operator="between">
      <formula>30</formula>
      <formula>0</formula>
    </cfRule>
    <cfRule type="cellIs" dxfId="174" priority="190" operator="between">
      <formula>31</formula>
      <formula>90</formula>
    </cfRule>
  </conditionalFormatting>
  <conditionalFormatting sqref="I173">
    <cfRule type="cellIs" dxfId="173" priority="185" operator="lessThan">
      <formula>0</formula>
    </cfRule>
    <cfRule type="cellIs" dxfId="172" priority="186" operator="between">
      <formula>30</formula>
      <formula>0</formula>
    </cfRule>
    <cfRule type="cellIs" dxfId="171" priority="187" operator="between">
      <formula>31</formula>
      <formula>90</formula>
    </cfRule>
  </conditionalFormatting>
  <conditionalFormatting sqref="I179">
    <cfRule type="cellIs" dxfId="170" priority="182" operator="lessThan">
      <formula>0</formula>
    </cfRule>
    <cfRule type="cellIs" dxfId="169" priority="183" operator="between">
      <formula>30</formula>
      <formula>0</formula>
    </cfRule>
    <cfRule type="cellIs" dxfId="168" priority="184" operator="between">
      <formula>31</formula>
      <formula>90</formula>
    </cfRule>
  </conditionalFormatting>
  <conditionalFormatting sqref="I184">
    <cfRule type="cellIs" dxfId="167" priority="179" operator="lessThan">
      <formula>0</formula>
    </cfRule>
    <cfRule type="cellIs" dxfId="166" priority="180" operator="between">
      <formula>30</formula>
      <formula>0</formula>
    </cfRule>
    <cfRule type="cellIs" dxfId="165" priority="181" operator="between">
      <formula>31</formula>
      <formula>90</formula>
    </cfRule>
  </conditionalFormatting>
  <conditionalFormatting sqref="I193">
    <cfRule type="cellIs" dxfId="164" priority="176" operator="lessThan">
      <formula>0</formula>
    </cfRule>
    <cfRule type="cellIs" dxfId="163" priority="177" operator="between">
      <formula>30</formula>
      <formula>0</formula>
    </cfRule>
    <cfRule type="cellIs" dxfId="162" priority="178" operator="between">
      <formula>31</formula>
      <formula>90</formula>
    </cfRule>
  </conditionalFormatting>
  <conditionalFormatting sqref="T143">
    <cfRule type="containsText" dxfId="161" priority="175" operator="containsText" text="OK">
      <formula>NOT(ISERROR(SEARCH("OK",T143)))</formula>
    </cfRule>
  </conditionalFormatting>
  <conditionalFormatting sqref="G91">
    <cfRule type="containsText" dxfId="160" priority="174" operator="containsText" text="NÃO">
      <formula>NOT(ISERROR(SEARCH("NÃO",F92)))</formula>
    </cfRule>
  </conditionalFormatting>
  <conditionalFormatting sqref="G80">
    <cfRule type="containsText" dxfId="159" priority="173" operator="containsText" text="NÃO">
      <formula>NOT(ISERROR(SEARCH("NÃO",F81)))</formula>
    </cfRule>
  </conditionalFormatting>
  <conditionalFormatting sqref="G78">
    <cfRule type="containsText" dxfId="158" priority="172" operator="containsText" text="NÃO">
      <formula>NOT(ISERROR(SEARCH("NÃO",F79)))</formula>
    </cfRule>
  </conditionalFormatting>
  <conditionalFormatting sqref="F171">
    <cfRule type="containsText" dxfId="157" priority="171" operator="containsText" text="NÃO">
      <formula>NOT(ISERROR(SEARCH("NÃO",#REF!)))</formula>
    </cfRule>
  </conditionalFormatting>
  <conditionalFormatting sqref="F171">
    <cfRule type="containsText" dxfId="156" priority="170" operator="containsText" text="SIM">
      <formula>NOT(ISERROR(SEARCH("SIM",D172)))</formula>
    </cfRule>
  </conditionalFormatting>
  <conditionalFormatting sqref="F172">
    <cfRule type="containsText" dxfId="155" priority="169" operator="containsText" text="NÃO">
      <formula>NOT(ISERROR(SEARCH("NÃO",#REF!)))</formula>
    </cfRule>
  </conditionalFormatting>
  <conditionalFormatting sqref="F172">
    <cfRule type="containsText" dxfId="154" priority="168" operator="containsText" text="SIM">
      <formula>NOT(ISERROR(SEARCH("SIM",D173)))</formula>
    </cfRule>
  </conditionalFormatting>
  <conditionalFormatting sqref="F174">
    <cfRule type="containsText" dxfId="153" priority="165" operator="containsText" text="NÃO">
      <formula>NOT(ISERROR(SEARCH("NÃO",#REF!)))</formula>
    </cfRule>
  </conditionalFormatting>
  <conditionalFormatting sqref="F174">
    <cfRule type="containsText" dxfId="152" priority="164" operator="containsText" text="SIM">
      <formula>NOT(ISERROR(SEARCH("SIM",D175)))</formula>
    </cfRule>
  </conditionalFormatting>
  <conditionalFormatting sqref="F175">
    <cfRule type="containsText" dxfId="151" priority="163" operator="containsText" text="NÃO">
      <formula>NOT(ISERROR(SEARCH("NÃO",#REF!)))</formula>
    </cfRule>
  </conditionalFormatting>
  <conditionalFormatting sqref="F175">
    <cfRule type="containsText" dxfId="150" priority="162" operator="containsText" text="SIM">
      <formula>NOT(ISERROR(SEARCH("SIM",D178)))</formula>
    </cfRule>
  </conditionalFormatting>
  <conditionalFormatting sqref="F178">
    <cfRule type="containsText" dxfId="149" priority="161" operator="containsText" text="SIM">
      <formula>NOT(ISERROR(SEARCH("SIM",D179)))</formula>
    </cfRule>
  </conditionalFormatting>
  <conditionalFormatting sqref="G51">
    <cfRule type="containsText" dxfId="148" priority="159" operator="containsText" text="SIM">
      <formula>NOT(ISERROR(SEARCH("SIM",F52)))</formula>
    </cfRule>
  </conditionalFormatting>
  <conditionalFormatting sqref="G51">
    <cfRule type="containsText" dxfId="147" priority="160" operator="containsText" text="NÃO">
      <formula>NOT(ISERROR(SEARCH("NÃO",F52)))</formula>
    </cfRule>
  </conditionalFormatting>
  <conditionalFormatting sqref="D113:E113">
    <cfRule type="containsText" dxfId="146" priority="158" operator="containsText" text="SIM">
      <formula>NOT(ISERROR(SEARCH("SIM",C114)))</formula>
    </cfRule>
  </conditionalFormatting>
  <conditionalFormatting sqref="E113">
    <cfRule type="containsText" dxfId="145" priority="150" operator="containsText" text="EM ELABORAÇÃO">
      <formula>NOT(ISERROR(SEARCH("EM ELABORAÇÃO",E113)))</formula>
    </cfRule>
    <cfRule type="containsText" dxfId="144" priority="151" operator="containsText" text="OBSOLETO">
      <formula>NOT(ISERROR(SEARCH("OBSOLETO",E113)))</formula>
    </cfRule>
    <cfRule type="containsText" dxfId="143" priority="152" operator="containsText" text="EM REVISÃO">
      <formula>NOT(ISERROR(SEARCH("EM REVISÃO",E113)))</formula>
    </cfRule>
    <cfRule type="containsText" dxfId="142" priority="153" operator="containsText" text="APROVADO">
      <formula>NOT(ISERROR(SEARCH("APROVADO",E113)))</formula>
    </cfRule>
  </conditionalFormatting>
  <conditionalFormatting sqref="F113">
    <cfRule type="containsText" dxfId="141" priority="157" operator="containsText" text="SIM">
      <formula>NOT(ISERROR(SEARCH("SIM",D114)))</formula>
    </cfRule>
  </conditionalFormatting>
  <conditionalFormatting sqref="I113">
    <cfRule type="cellIs" dxfId="140" priority="154" operator="lessThan">
      <formula>0</formula>
    </cfRule>
    <cfRule type="cellIs" dxfId="139" priority="155" operator="between">
      <formula>30</formula>
      <formula>0</formula>
    </cfRule>
    <cfRule type="cellIs" dxfId="138" priority="156" operator="between">
      <formula>31</formula>
      <formula>90</formula>
    </cfRule>
  </conditionalFormatting>
  <conditionalFormatting sqref="G52:H52">
    <cfRule type="containsText" dxfId="137" priority="1128" operator="containsText" text="NÃO">
      <formula>NOT(ISERROR(SEARCH("NÃO",F54)))</formula>
    </cfRule>
  </conditionalFormatting>
  <conditionalFormatting sqref="G53:H53">
    <cfRule type="containsText" dxfId="136" priority="148" operator="containsText" text="SIM">
      <formula>NOT(ISERROR(SEARCH("SIM",F54)))</formula>
    </cfRule>
  </conditionalFormatting>
  <conditionalFormatting sqref="E53">
    <cfRule type="containsText" dxfId="135" priority="137" operator="containsText" text="EM ELABORAÇÃO">
      <formula>NOT(ISERROR(SEARCH("EM ELABORAÇÃO",E53)))</formula>
    </cfRule>
    <cfRule type="containsText" dxfId="134" priority="138" operator="containsText" text="OBSOLETO">
      <formula>NOT(ISERROR(SEARCH("OBSOLETO",E53)))</formula>
    </cfRule>
    <cfRule type="containsText" dxfId="133" priority="139" operator="containsText" text="EM REVISÃO">
      <formula>NOT(ISERROR(SEARCH("EM REVISÃO",E53)))</formula>
    </cfRule>
    <cfRule type="containsText" dxfId="132" priority="140" operator="containsText" text="APROVADO">
      <formula>NOT(ISERROR(SEARCH("APROVADO",E53)))</formula>
    </cfRule>
  </conditionalFormatting>
  <conditionalFormatting sqref="H53">
    <cfRule type="containsText" dxfId="131" priority="146" operator="containsText" text="SIM">
      <formula>NOT(ISERROR(SEARCH("SIM",F54)))</formula>
    </cfRule>
  </conditionalFormatting>
  <conditionalFormatting sqref="G53:H53">
    <cfRule type="containsText" dxfId="130" priority="135" operator="containsText" text="NÃO">
      <formula>NOT(ISERROR(SEARCH("NÃO",F54)))</formula>
    </cfRule>
  </conditionalFormatting>
  <conditionalFormatting sqref="I53">
    <cfRule type="cellIs" dxfId="129" priority="141" operator="lessThan">
      <formula>0</formula>
    </cfRule>
    <cfRule type="cellIs" dxfId="128" priority="142" operator="between">
      <formula>30</formula>
      <formula>0</formula>
    </cfRule>
    <cfRule type="cellIs" dxfId="127" priority="143" operator="between">
      <formula>31</formula>
      <formula>90</formula>
    </cfRule>
  </conditionalFormatting>
  <conditionalFormatting sqref="J53">
    <cfRule type="containsText" dxfId="126" priority="144" operator="containsText" text="SIM">
      <formula>NOT(ISERROR(SEARCH("SIM",F54)))</formula>
    </cfRule>
    <cfRule type="containsText" dxfId="125" priority="145" operator="containsText" text="NÃO">
      <formula>NOT(ISERROR(SEARCH("NÃO",G54)))</formula>
    </cfRule>
  </conditionalFormatting>
  <conditionalFormatting sqref="K53">
    <cfRule type="containsText" dxfId="124" priority="147" operator="containsText" text="SIM">
      <formula>NOT(ISERROR(SEARCH("SIM",G54)))</formula>
    </cfRule>
  </conditionalFormatting>
  <conditionalFormatting sqref="K53">
    <cfRule type="containsText" dxfId="123" priority="149" operator="containsText" text="NÃO">
      <formula>NOT(ISERROR(SEARCH("NÃO",G54)))</formula>
    </cfRule>
  </conditionalFormatting>
  <conditionalFormatting sqref="T53">
    <cfRule type="containsText" dxfId="122" priority="136" operator="containsText" text="OK">
      <formula>NOT(ISERROR(SEARCH("OK",T53)))</formula>
    </cfRule>
  </conditionalFormatting>
  <conditionalFormatting sqref="T220">
    <cfRule type="containsText" dxfId="121" priority="134" operator="containsText" text="OK">
      <formula>NOT(ISERROR(SEARCH("OK",T220)))</formula>
    </cfRule>
  </conditionalFormatting>
  <conditionalFormatting sqref="T221:T223">
    <cfRule type="containsText" dxfId="120" priority="133" operator="containsText" text="OK">
      <formula>NOT(ISERROR(SEARCH("OK",T221)))</formula>
    </cfRule>
  </conditionalFormatting>
  <conditionalFormatting sqref="D120:E120">
    <cfRule type="containsText" dxfId="119" priority="1129" operator="containsText" text="SIM">
      <formula>NOT(ISERROR(SEARCH("SIM",C122)))</formula>
    </cfRule>
  </conditionalFormatting>
  <conditionalFormatting sqref="F119:F120 F156:F158">
    <cfRule type="containsText" dxfId="118" priority="1131" operator="containsText" text="SIM">
      <formula>NOT(ISERROR(SEARCH("SIM",D122)))</formula>
    </cfRule>
  </conditionalFormatting>
  <conditionalFormatting sqref="D121:F121">
    <cfRule type="containsText" dxfId="117" priority="90" operator="containsText" text="NÃO">
      <formula>NOT(ISERROR(SEARCH("NÃO",#REF!)))</formula>
    </cfRule>
  </conditionalFormatting>
  <conditionalFormatting sqref="E121">
    <cfRule type="containsText" dxfId="116" priority="81" operator="containsText" text="EM ELABORAÇÃO">
      <formula>NOT(ISERROR(SEARCH("EM ELABORAÇÃO",E121)))</formula>
    </cfRule>
    <cfRule type="containsText" dxfId="115" priority="82" operator="containsText" text="OBSOLETO">
      <formula>NOT(ISERROR(SEARCH("OBSOLETO",E121)))</formula>
    </cfRule>
    <cfRule type="containsText" dxfId="114" priority="83" operator="containsText" text="EM REVISÃO">
      <formula>NOT(ISERROR(SEARCH("EM REVISÃO",E121)))</formula>
    </cfRule>
    <cfRule type="containsText" dxfId="113" priority="84" operator="containsText" text="APROVADO">
      <formula>NOT(ISERROR(SEARCH("APROVADO",E121)))</formula>
    </cfRule>
  </conditionalFormatting>
  <conditionalFormatting sqref="I121">
    <cfRule type="cellIs" dxfId="112" priority="85" operator="lessThan">
      <formula>0</formula>
    </cfRule>
    <cfRule type="cellIs" dxfId="111" priority="86" operator="between">
      <formula>30</formula>
      <formula>0</formula>
    </cfRule>
    <cfRule type="cellIs" dxfId="110" priority="87" operator="between">
      <formula>31</formula>
      <formula>90</formula>
    </cfRule>
  </conditionalFormatting>
  <conditionalFormatting sqref="J121">
    <cfRule type="containsText" dxfId="109" priority="80" operator="containsText" text="OK">
      <formula>NOT(ISERROR(SEARCH("OK",J121)))</formula>
    </cfRule>
  </conditionalFormatting>
  <conditionalFormatting sqref="D140:E140">
    <cfRule type="containsText" dxfId="108" priority="76" operator="containsText" text="NÃO">
      <formula>NOT(ISERROR(SEARCH("NÃO",#REF!)))</formula>
    </cfRule>
  </conditionalFormatting>
  <conditionalFormatting sqref="E140">
    <cfRule type="containsText" dxfId="107" priority="69" operator="containsText" text="EM ELABORAÇÃO">
      <formula>NOT(ISERROR(SEARCH("EM ELABORAÇÃO",E140)))</formula>
    </cfRule>
    <cfRule type="containsText" dxfId="106" priority="70" operator="containsText" text="OBSOLETO">
      <formula>NOT(ISERROR(SEARCH("OBSOLETO",E140)))</formula>
    </cfRule>
    <cfRule type="containsText" dxfId="105" priority="71" operator="containsText" text="EM REVISÃO">
      <formula>NOT(ISERROR(SEARCH("EM REVISÃO",E140)))</formula>
    </cfRule>
    <cfRule type="containsText" dxfId="104" priority="72" operator="containsText" text="APROVADO">
      <formula>NOT(ISERROR(SEARCH("APROVADO",E140)))</formula>
    </cfRule>
  </conditionalFormatting>
  <conditionalFormatting sqref="I140">
    <cfRule type="cellIs" dxfId="103" priority="73" operator="lessThan">
      <formula>0</formula>
    </cfRule>
    <cfRule type="cellIs" dxfId="102" priority="74" operator="between">
      <formula>30</formula>
      <formula>0</formula>
    </cfRule>
    <cfRule type="cellIs" dxfId="101" priority="75" operator="between">
      <formula>31</formula>
      <formula>90</formula>
    </cfRule>
  </conditionalFormatting>
  <conditionalFormatting sqref="K140">
    <cfRule type="cellIs" dxfId="100" priority="77" operator="equal">
      <formula>"VERMELHO"</formula>
    </cfRule>
    <cfRule type="cellIs" dxfId="99" priority="78" operator="equal">
      <formula>"AMARELO"</formula>
    </cfRule>
    <cfRule type="cellIs" dxfId="98" priority="79" operator="equal">
      <formula>"VERDE"</formula>
    </cfRule>
  </conditionalFormatting>
  <conditionalFormatting sqref="T140">
    <cfRule type="containsText" dxfId="97" priority="68" operator="containsText" text="OK">
      <formula>NOT(ISERROR(SEARCH("OK",T140)))</formula>
    </cfRule>
  </conditionalFormatting>
  <conditionalFormatting sqref="D140:E140">
    <cfRule type="containsText" dxfId="96" priority="66" operator="containsText" text="SIM">
      <formula>NOT(ISERROR(SEARCH("SIM",C88)))</formula>
    </cfRule>
  </conditionalFormatting>
  <conditionalFormatting sqref="D140:F140">
    <cfRule type="containsText" dxfId="95" priority="67" operator="containsText" text="NÃO">
      <formula>NOT(ISERROR(SEARCH("NÃO",#REF!)))</formula>
    </cfRule>
  </conditionalFormatting>
  <conditionalFormatting sqref="E140">
    <cfRule type="containsText" dxfId="94" priority="53" operator="containsText" text="EM ELABORAÇÃO">
      <formula>NOT(ISERROR(SEARCH("EM ELABORAÇÃO",E140)))</formula>
    </cfRule>
    <cfRule type="containsText" dxfId="93" priority="54" operator="containsText" text="OBSOLETO">
      <formula>NOT(ISERROR(SEARCH("OBSOLETO",E140)))</formula>
    </cfRule>
    <cfRule type="containsText" dxfId="92" priority="55" operator="containsText" text="EM REVISÃO">
      <formula>NOT(ISERROR(SEARCH("EM REVISÃO",E140)))</formula>
    </cfRule>
    <cfRule type="containsText" dxfId="91" priority="56" operator="containsText" text="APROVADO">
      <formula>NOT(ISERROR(SEARCH("APROVADO",E140)))</formula>
    </cfRule>
  </conditionalFormatting>
  <conditionalFormatting sqref="F140">
    <cfRule type="containsText" dxfId="90" priority="65" operator="containsText" text="SIM">
      <formula>NOT(ISERROR(SEARCH("SIM",D89)))</formula>
    </cfRule>
  </conditionalFormatting>
  <conditionalFormatting sqref="I140">
    <cfRule type="cellIs" dxfId="89" priority="57" operator="lessThan">
      <formula>0</formula>
    </cfRule>
    <cfRule type="cellIs" dxfId="88" priority="58" operator="between">
      <formula>30</formula>
      <formula>0</formula>
    </cfRule>
    <cfRule type="cellIs" dxfId="87" priority="59" operator="between">
      <formula>31</formula>
      <formula>90</formula>
    </cfRule>
  </conditionalFormatting>
  <conditionalFormatting sqref="J140">
    <cfRule type="containsText" dxfId="86" priority="60" operator="containsText" text="SIM">
      <formula>NOT(ISERROR(SEARCH("SIM",F88)))</formula>
    </cfRule>
    <cfRule type="containsText" dxfId="85" priority="61" operator="containsText" text="NÃO">
      <formula>NOT(ISERROR(SEARCH("NÃO",G88)))</formula>
    </cfRule>
  </conditionalFormatting>
  <conditionalFormatting sqref="K140">
    <cfRule type="cellIs" dxfId="84" priority="62" operator="equal">
      <formula>"VERMELHO"</formula>
    </cfRule>
    <cfRule type="cellIs" dxfId="83" priority="63" operator="equal">
      <formula>"AMARELO"</formula>
    </cfRule>
    <cfRule type="cellIs" dxfId="82" priority="64" operator="equal">
      <formula>"VERDE"</formula>
    </cfRule>
  </conditionalFormatting>
  <conditionalFormatting sqref="T140">
    <cfRule type="containsText" dxfId="81" priority="52" operator="containsText" text="OK">
      <formula>NOT(ISERROR(SEARCH("OK",T140)))</formula>
    </cfRule>
  </conditionalFormatting>
  <conditionalFormatting sqref="D77:E77">
    <cfRule type="containsText" dxfId="80" priority="1133" operator="containsText" text="SIM">
      <formula>NOT(ISERROR(SEARCH("SIM",C123)))</formula>
    </cfRule>
  </conditionalFormatting>
  <conditionalFormatting sqref="J77">
    <cfRule type="containsText" dxfId="79" priority="1155" operator="containsText" text="SIM">
      <formula>NOT(ISERROR(SEARCH("SIM",F122)))</formula>
    </cfRule>
    <cfRule type="containsText" dxfId="78" priority="1156" operator="containsText" text="NÃO">
      <formula>NOT(ISERROR(SEARCH("NÃO",G122)))</formula>
    </cfRule>
  </conditionalFormatting>
  <conditionalFormatting sqref="D121:E121">
    <cfRule type="containsText" dxfId="77" priority="1166" operator="containsText" text="SIM">
      <formula>NOT(ISERROR(SEARCH("SIM",C77)))</formula>
    </cfRule>
  </conditionalFormatting>
  <conditionalFormatting sqref="F121">
    <cfRule type="containsText" dxfId="76" priority="1167" operator="containsText" text="SIM">
      <formula>NOT(ISERROR(SEARCH("SIM",D77)))</formula>
    </cfRule>
  </conditionalFormatting>
  <conditionalFormatting sqref="D176:E176">
    <cfRule type="containsText" dxfId="75" priority="51" operator="containsText" text="SIM">
      <formula>NOT(ISERROR(SEARCH("SIM",C179)))</formula>
    </cfRule>
  </conditionalFormatting>
  <conditionalFormatting sqref="D176:E176">
    <cfRule type="containsText" dxfId="74" priority="50" operator="containsText" text="NÃO">
      <formula>NOT(ISERROR(SEARCH("NÃO",#REF!)))</formula>
    </cfRule>
  </conditionalFormatting>
  <conditionalFormatting sqref="E176">
    <cfRule type="containsText" dxfId="73" priority="43" operator="containsText" text="EM ELABORAÇÃO">
      <formula>NOT(ISERROR(SEARCH("EM ELABORAÇÃO",E176)))</formula>
    </cfRule>
    <cfRule type="containsText" dxfId="72" priority="44" operator="containsText" text="OBSOLETO">
      <formula>NOT(ISERROR(SEARCH("OBSOLETO",E176)))</formula>
    </cfRule>
    <cfRule type="containsText" dxfId="71" priority="45" operator="containsText" text="EM REVISÃO">
      <formula>NOT(ISERROR(SEARCH("EM REVISÃO",E176)))</formula>
    </cfRule>
    <cfRule type="containsText" dxfId="70" priority="46" operator="containsText" text="APROVADO">
      <formula>NOT(ISERROR(SEARCH("APROVADO",E176)))</formula>
    </cfRule>
  </conditionalFormatting>
  <conditionalFormatting sqref="G176:H176">
    <cfRule type="containsText" dxfId="69" priority="42" operator="containsText" text="NÃO">
      <formula>NOT(ISERROR(SEARCH("NÃO",F179)))</formula>
    </cfRule>
  </conditionalFormatting>
  <conditionalFormatting sqref="I176">
    <cfRule type="cellIs" dxfId="68" priority="47" operator="lessThan">
      <formula>0</formula>
    </cfRule>
    <cfRule type="cellIs" dxfId="67" priority="48" operator="between">
      <formula>30</formula>
      <formula>0</formula>
    </cfRule>
    <cfRule type="cellIs" dxfId="66" priority="49" operator="between">
      <formula>31</formula>
      <formula>90</formula>
    </cfRule>
  </conditionalFormatting>
  <conditionalFormatting sqref="F176">
    <cfRule type="containsText" dxfId="65" priority="41" operator="containsText" text="NÃO">
      <formula>NOT(ISERROR(SEARCH("NÃO",#REF!)))</formula>
    </cfRule>
  </conditionalFormatting>
  <conditionalFormatting sqref="F176">
    <cfRule type="containsText" dxfId="64" priority="40" operator="containsText" text="SIM">
      <formula>NOT(ISERROR(SEARCH("SIM",D179)))</formula>
    </cfRule>
  </conditionalFormatting>
  <conditionalFormatting sqref="D64:E64">
    <cfRule type="containsText" dxfId="63" priority="38" operator="containsText" text="SIM">
      <formula>NOT(ISERROR(SEARCH("SIM",C65)))</formula>
    </cfRule>
  </conditionalFormatting>
  <conditionalFormatting sqref="D64:F64">
    <cfRule type="containsText" dxfId="62" priority="39" operator="containsText" text="NÃO">
      <formula>NOT(ISERROR(SEARCH("NÃO",#REF!)))</formula>
    </cfRule>
  </conditionalFormatting>
  <conditionalFormatting sqref="E64">
    <cfRule type="containsText" dxfId="61" priority="30" operator="containsText" text="EM ELABORAÇÃO">
      <formula>NOT(ISERROR(SEARCH("EM ELABORAÇÃO",E64)))</formula>
    </cfRule>
    <cfRule type="containsText" dxfId="60" priority="31" operator="containsText" text="OBSOLETO">
      <formula>NOT(ISERROR(SEARCH("OBSOLETO",E64)))</formula>
    </cfRule>
    <cfRule type="containsText" dxfId="59" priority="32" operator="containsText" text="EM REVISÃO">
      <formula>NOT(ISERROR(SEARCH("EM REVISÃO",E64)))</formula>
    </cfRule>
    <cfRule type="containsText" dxfId="58" priority="33" operator="containsText" text="APROVADO">
      <formula>NOT(ISERROR(SEARCH("APROVADO",E64)))</formula>
    </cfRule>
  </conditionalFormatting>
  <conditionalFormatting sqref="F64">
    <cfRule type="containsText" dxfId="57" priority="37" operator="containsText" text="SIM">
      <formula>NOT(ISERROR(SEARCH("SIM",D65)))</formula>
    </cfRule>
  </conditionalFormatting>
  <conditionalFormatting sqref="I64">
    <cfRule type="cellIs" dxfId="56" priority="34" operator="lessThan">
      <formula>0</formula>
    </cfRule>
    <cfRule type="cellIs" dxfId="55" priority="35" operator="between">
      <formula>30</formula>
      <formula>0</formula>
    </cfRule>
    <cfRule type="cellIs" dxfId="54" priority="36" operator="between">
      <formula>31</formula>
      <formula>90</formula>
    </cfRule>
  </conditionalFormatting>
  <conditionalFormatting sqref="D101:E101">
    <cfRule type="containsText" dxfId="53" priority="28" operator="containsText" text="SIM">
      <formula>NOT(ISERROR(SEARCH("SIM",C102)))</formula>
    </cfRule>
  </conditionalFormatting>
  <conditionalFormatting sqref="D101:F101">
    <cfRule type="containsText" dxfId="52" priority="29" operator="containsText" text="NÃO">
      <formula>NOT(ISERROR(SEARCH("NÃO",#REF!)))</formula>
    </cfRule>
  </conditionalFormatting>
  <conditionalFormatting sqref="E101">
    <cfRule type="containsText" dxfId="51" priority="20" operator="containsText" text="EM ELABORAÇÃO">
      <formula>NOT(ISERROR(SEARCH("EM ELABORAÇÃO",E101)))</formula>
    </cfRule>
    <cfRule type="containsText" dxfId="50" priority="21" operator="containsText" text="OBSOLETO">
      <formula>NOT(ISERROR(SEARCH("OBSOLETO",E101)))</formula>
    </cfRule>
    <cfRule type="containsText" dxfId="49" priority="22" operator="containsText" text="EM REVISÃO">
      <formula>NOT(ISERROR(SEARCH("EM REVISÃO",E101)))</formula>
    </cfRule>
    <cfRule type="containsText" dxfId="48" priority="23" operator="containsText" text="APROVADO">
      <formula>NOT(ISERROR(SEARCH("APROVADO",E101)))</formula>
    </cfRule>
  </conditionalFormatting>
  <conditionalFormatting sqref="F101">
    <cfRule type="containsText" dxfId="47" priority="27" operator="containsText" text="SIM">
      <formula>NOT(ISERROR(SEARCH("SIM",D102)))</formula>
    </cfRule>
  </conditionalFormatting>
  <conditionalFormatting sqref="I101">
    <cfRule type="cellIs" dxfId="46" priority="24" operator="lessThan">
      <formula>0</formula>
    </cfRule>
    <cfRule type="cellIs" dxfId="45" priority="25" operator="between">
      <formula>30</formula>
      <formula>0</formula>
    </cfRule>
    <cfRule type="cellIs" dxfId="44" priority="26" operator="between">
      <formula>31</formula>
      <formula>90</formula>
    </cfRule>
  </conditionalFormatting>
  <conditionalFormatting sqref="E101">
    <cfRule type="containsText" dxfId="43" priority="18" operator="containsText" text="SIM">
      <formula>NOT(ISERROR(SEARCH("SIM",D103)))</formula>
    </cfRule>
  </conditionalFormatting>
  <conditionalFormatting sqref="E101">
    <cfRule type="containsText" dxfId="42" priority="19" operator="containsText" text="NÃO">
      <formula>NOT(ISERROR(SEARCH("NÃO",#REF!)))</formula>
    </cfRule>
  </conditionalFormatting>
  <conditionalFormatting sqref="T235">
    <cfRule type="containsText" dxfId="41" priority="17" operator="containsText" text="OK">
      <formula>NOT(ISERROR(SEARCH("OK",T235)))</formula>
    </cfRule>
  </conditionalFormatting>
  <conditionalFormatting sqref="D156:E158">
    <cfRule type="containsText" dxfId="40" priority="1168" operator="containsText" text="SIM">
      <formula>NOT(ISERROR(SEARCH("SIM",C159)))</formula>
    </cfRule>
  </conditionalFormatting>
  <conditionalFormatting sqref="J156">
    <cfRule type="containsText" dxfId="39" priority="1172" operator="containsText" text="SIM">
      <formula>NOT(ISERROR(SEARCH("SIM",F159)))</formula>
    </cfRule>
    <cfRule type="containsText" dxfId="38" priority="1173" operator="containsText" text="NÃO">
      <formula>NOT(ISERROR(SEARCH("NÃO",G159)))</formula>
    </cfRule>
  </conditionalFormatting>
  <conditionalFormatting sqref="J177">
    <cfRule type="containsText" dxfId="37" priority="16" operator="containsText" text="NÃO">
      <formula>NOT(ISERROR(SEARCH("NÃO",G180)))</formula>
    </cfRule>
  </conditionalFormatting>
  <conditionalFormatting sqref="J177">
    <cfRule type="containsText" dxfId="36" priority="15" operator="containsText" text="SIM">
      <formula>NOT(ISERROR(SEARCH("SIM",F180)))</formula>
    </cfRule>
  </conditionalFormatting>
  <conditionalFormatting sqref="K177">
    <cfRule type="cellIs" dxfId="35" priority="12" operator="equal">
      <formula>"VERMELHO"</formula>
    </cfRule>
    <cfRule type="cellIs" dxfId="34" priority="13" operator="equal">
      <formula>"AMARELO"</formula>
    </cfRule>
    <cfRule type="cellIs" dxfId="33" priority="14" operator="equal">
      <formula>"VERDE"</formula>
    </cfRule>
  </conditionalFormatting>
  <conditionalFormatting sqref="T177">
    <cfRule type="containsText" dxfId="32" priority="11" operator="containsText" text="OK">
      <formula>NOT(ISERROR(SEARCH("OK",T177)))</formula>
    </cfRule>
  </conditionalFormatting>
  <conditionalFormatting sqref="I177">
    <cfRule type="cellIs" dxfId="31" priority="8" operator="lessThan">
      <formula>0</formula>
    </cfRule>
    <cfRule type="cellIs" dxfId="30" priority="9" operator="between">
      <formula>30</formula>
      <formula>0</formula>
    </cfRule>
    <cfRule type="cellIs" dxfId="29" priority="10" operator="between">
      <formula>31</formula>
      <formula>90</formula>
    </cfRule>
  </conditionalFormatting>
  <conditionalFormatting sqref="D177:E177">
    <cfRule type="containsText" dxfId="28" priority="6" operator="containsText" text="SIM">
      <formula>NOT(ISERROR(SEARCH("SIM",C181)))</formula>
    </cfRule>
  </conditionalFormatting>
  <conditionalFormatting sqref="D177:F177">
    <cfRule type="containsText" dxfId="27" priority="7" operator="containsText" text="NÃO">
      <formula>NOT(ISERROR(SEARCH("NÃO",#REF!)))</formula>
    </cfRule>
  </conditionalFormatting>
  <conditionalFormatting sqref="E177">
    <cfRule type="containsText" dxfId="26" priority="1" operator="containsText" text="EM ELABORAÇÃO">
      <formula>NOT(ISERROR(SEARCH("EM ELABORAÇÃO",E177)))</formula>
    </cfRule>
    <cfRule type="containsText" dxfId="25" priority="2" operator="containsText" text="OBSOLETO">
      <formula>NOT(ISERROR(SEARCH("OBSOLETO",E177)))</formula>
    </cfRule>
    <cfRule type="containsText" dxfId="24" priority="3" operator="containsText" text="EM REVISÃO">
      <formula>NOT(ISERROR(SEARCH("EM REVISÃO",E177)))</formula>
    </cfRule>
    <cfRule type="containsText" dxfId="23" priority="4" operator="containsText" text="APROVADO">
      <formula>NOT(ISERROR(SEARCH("APROVADO",E177)))</formula>
    </cfRule>
  </conditionalFormatting>
  <conditionalFormatting sqref="F177">
    <cfRule type="containsText" dxfId="22" priority="5" operator="containsText" text="SIM">
      <formula>NOT(ISERROR(SEARCH("SIM",D181)))</formula>
    </cfRule>
  </conditionalFormatting>
  <dataValidations count="3">
    <dataValidation type="list" allowBlank="1" showInputMessage="1" showErrorMessage="1" sqref="P3:T3 P7" xr:uid="{D659CF29-DB3F-4EFA-84EB-23C930905859}">
      <formula1>$W$1:$Y$1</formula1>
    </dataValidation>
    <dataValidation type="list" allowBlank="1" showInputMessage="1" showErrorMessage="1" sqref="E239 E235 E7:E219" xr:uid="{889820E4-9CF7-4C14-BE5D-7773A18950F2}">
      <formula1>$L$3:$O$3</formula1>
    </dataValidation>
    <dataValidation type="list" allowBlank="1" showInputMessage="1" showErrorMessage="1" sqref="J140:K140 K7:K76 J77:K77 K78:K139 J7:J120 K141:K176 J122:J176 J177:K241" xr:uid="{84891BF8-B3C9-469F-9F63-3E113E2825BB}">
      <formula1>$P$3:$S$3</formula1>
    </dataValidation>
  </dataValidations>
  <printOptions horizontalCentered="1"/>
  <pageMargins left="0.19685039370078741" right="0.19685039370078741" top="7.874015748031496E-2" bottom="0.19685039370078741" header="0.11811023622047245" footer="0.11811023622047245"/>
  <pageSetup paperSize="9" scale="50" fitToHeight="0" orientation="landscape" horizontalDpi="2147483648" verticalDpi="2147483648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2B6A-0997-4B47-A223-5EF12D3F7BE4}">
  <dimension ref="A1:D11"/>
  <sheetViews>
    <sheetView showGridLines="0" workbookViewId="0">
      <selection sqref="A1:D1"/>
    </sheetView>
  </sheetViews>
  <sheetFormatPr defaultRowHeight="15.75"/>
  <cols>
    <col min="2" max="2" width="23.625" bestFit="1" customWidth="1"/>
    <col min="3" max="3" width="10.125" bestFit="1" customWidth="1"/>
  </cols>
  <sheetData>
    <row r="1" spans="1:4" ht="21">
      <c r="A1" s="201" t="s">
        <v>670</v>
      </c>
      <c r="B1" s="201"/>
      <c r="C1" s="201"/>
      <c r="D1" s="201"/>
    </row>
    <row r="2" spans="1:4" ht="6" customHeight="1" thickBot="1">
      <c r="A2" s="119"/>
      <c r="B2" s="119"/>
      <c r="C2" s="119"/>
      <c r="D2" s="119"/>
    </row>
    <row r="3" spans="1:4" ht="16.5" thickBot="1">
      <c r="A3" s="120"/>
      <c r="B3" s="106" t="s">
        <v>671</v>
      </c>
      <c r="C3" s="108" t="s">
        <v>672</v>
      </c>
      <c r="D3" s="120"/>
    </row>
    <row r="4" spans="1:4">
      <c r="A4" s="120"/>
      <c r="B4" s="107" t="s">
        <v>661</v>
      </c>
      <c r="C4" s="100">
        <f>COUNTIF(LM!$E$7:$E$234,B4)</f>
        <v>0</v>
      </c>
      <c r="D4" s="120"/>
    </row>
    <row r="5" spans="1:4">
      <c r="A5" s="120"/>
      <c r="B5" s="103" t="s">
        <v>660</v>
      </c>
      <c r="C5" s="101">
        <f>COUNTIF(LM!$E$7:$E$234,B5)</f>
        <v>10</v>
      </c>
      <c r="D5" s="120"/>
    </row>
    <row r="6" spans="1:4">
      <c r="A6" s="120"/>
      <c r="B6" s="102" t="s">
        <v>659</v>
      </c>
      <c r="C6" s="101">
        <f>COUNTIF(LM!$E$7:$E$234,B6)</f>
        <v>192</v>
      </c>
      <c r="D6" s="120"/>
    </row>
    <row r="7" spans="1:4" ht="16.5" thickBot="1">
      <c r="A7" s="120"/>
      <c r="B7" s="104" t="s">
        <v>326</v>
      </c>
      <c r="C7" s="105">
        <f>COUNTIF(LM!$E$7:$E$234,B7)</f>
        <v>26</v>
      </c>
      <c r="D7" s="120"/>
    </row>
    <row r="8" spans="1:4" ht="16.5" thickBot="1">
      <c r="A8" s="120"/>
      <c r="B8" s="120"/>
      <c r="C8" s="120"/>
      <c r="D8" s="120"/>
    </row>
    <row r="9" spans="1:4" ht="16.5" thickBot="1">
      <c r="A9" s="120"/>
      <c r="B9" s="206" t="s">
        <v>849</v>
      </c>
      <c r="C9" s="207"/>
      <c r="D9" s="120"/>
    </row>
    <row r="10" spans="1:4">
      <c r="A10" s="120"/>
      <c r="B10" s="202">
        <f>SUM(C4:C7)</f>
        <v>228</v>
      </c>
      <c r="C10" s="203"/>
      <c r="D10" s="120"/>
    </row>
    <row r="11" spans="1:4" ht="16.5" thickBot="1">
      <c r="A11" s="120"/>
      <c r="B11" s="204"/>
      <c r="C11" s="205"/>
      <c r="D11" s="120"/>
    </row>
  </sheetData>
  <mergeCells count="3">
    <mergeCell ref="A1:D1"/>
    <mergeCell ref="B10:C11"/>
    <mergeCell ref="B9:C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Q162"/>
  <sheetViews>
    <sheetView zoomScale="70" workbookViewId="0">
      <pane xSplit="4" ySplit="3" topLeftCell="E4" activePane="bottomRight" state="frozen"/>
      <selection activeCell="E4" sqref="E4"/>
      <selection pane="topRight"/>
      <selection pane="bottomLeft"/>
      <selection pane="bottomRight" activeCell="E4" sqref="E4"/>
    </sheetView>
  </sheetViews>
  <sheetFormatPr defaultColWidth="10.875" defaultRowHeight="14.25"/>
  <cols>
    <col min="1" max="1" width="22" style="1" customWidth="1"/>
    <col min="2" max="2" width="20.875" style="1" customWidth="1"/>
    <col min="3" max="3" width="61.625" style="1" customWidth="1"/>
    <col min="4" max="4" width="16.5" style="1" customWidth="1"/>
    <col min="5" max="5" width="58.25" style="1" customWidth="1"/>
    <col min="6" max="6" width="66.125" style="1" customWidth="1"/>
    <col min="7" max="7" width="24.875" style="1" bestFit="1" customWidth="1"/>
    <col min="8" max="8" width="50.5" style="1" customWidth="1"/>
    <col min="9" max="10" width="29" style="1" customWidth="1"/>
    <col min="11" max="11" width="44.125" style="1" customWidth="1"/>
    <col min="12" max="12" width="87.5" style="45" customWidth="1"/>
    <col min="13" max="16384" width="10.875" style="1"/>
  </cols>
  <sheetData>
    <row r="1" spans="1:13" ht="75.75" customHeight="1">
      <c r="A1" s="208"/>
      <c r="B1" s="209"/>
      <c r="C1" s="210" t="s">
        <v>485</v>
      </c>
      <c r="D1" s="210"/>
      <c r="E1" s="210"/>
      <c r="F1" s="210"/>
      <c r="G1" s="210"/>
      <c r="H1" s="210"/>
      <c r="I1" s="210"/>
      <c r="J1" s="210"/>
      <c r="K1" s="210"/>
      <c r="L1" s="211"/>
      <c r="M1" s="5"/>
    </row>
    <row r="2" spans="1:13" ht="60.75" customHeight="1">
      <c r="A2" s="212" t="s">
        <v>486</v>
      </c>
      <c r="B2" s="212" t="s">
        <v>487</v>
      </c>
      <c r="C2" s="212" t="s">
        <v>488</v>
      </c>
      <c r="D2" s="212" t="s">
        <v>489</v>
      </c>
      <c r="E2" s="214" t="s">
        <v>490</v>
      </c>
      <c r="F2" s="215"/>
      <c r="G2" s="212" t="s">
        <v>491</v>
      </c>
      <c r="H2" s="212" t="s">
        <v>492</v>
      </c>
      <c r="I2" s="212" t="s">
        <v>493</v>
      </c>
      <c r="J2" s="212" t="s">
        <v>494</v>
      </c>
      <c r="K2" s="212" t="s">
        <v>495</v>
      </c>
      <c r="L2" s="212" t="s">
        <v>11</v>
      </c>
    </row>
    <row r="3" spans="1:13" ht="51.75" customHeight="1">
      <c r="A3" s="213"/>
      <c r="B3" s="213"/>
      <c r="C3" s="213"/>
      <c r="D3" s="213"/>
      <c r="E3" s="46" t="s">
        <v>496</v>
      </c>
      <c r="F3" s="46" t="s">
        <v>497</v>
      </c>
      <c r="G3" s="213"/>
      <c r="H3" s="213"/>
      <c r="I3" s="212"/>
      <c r="J3" s="213"/>
      <c r="K3" s="213"/>
      <c r="L3" s="213"/>
    </row>
    <row r="4" spans="1:13" ht="37.5" customHeight="1">
      <c r="A4" s="47" t="s">
        <v>498</v>
      </c>
      <c r="B4" s="47" t="s">
        <v>499</v>
      </c>
      <c r="C4" s="48" t="s">
        <v>500</v>
      </c>
      <c r="D4" s="47" t="s">
        <v>14</v>
      </c>
      <c r="E4" s="49" t="s">
        <v>501</v>
      </c>
      <c r="F4" s="49"/>
      <c r="G4" s="47" t="s">
        <v>502</v>
      </c>
      <c r="H4" s="50" t="s">
        <v>503</v>
      </c>
      <c r="I4" s="50"/>
      <c r="J4" s="50"/>
      <c r="K4" s="50" t="s">
        <v>504</v>
      </c>
      <c r="L4" s="50" t="s">
        <v>505</v>
      </c>
    </row>
    <row r="5" spans="1:13" ht="70.5" customHeight="1">
      <c r="A5" s="51" t="s">
        <v>506</v>
      </c>
      <c r="B5" s="51" t="s">
        <v>499</v>
      </c>
      <c r="C5" s="52" t="s">
        <v>507</v>
      </c>
      <c r="D5" s="51" t="s">
        <v>14</v>
      </c>
      <c r="E5" s="53" t="s">
        <v>508</v>
      </c>
      <c r="F5" s="53"/>
      <c r="G5" s="51" t="s">
        <v>502</v>
      </c>
      <c r="H5" s="54" t="s">
        <v>509</v>
      </c>
      <c r="I5" s="54"/>
      <c r="J5" s="54"/>
      <c r="K5" s="51" t="s">
        <v>510</v>
      </c>
      <c r="L5" s="53"/>
    </row>
    <row r="6" spans="1:13" ht="37.5" customHeight="1">
      <c r="A6" s="51" t="s">
        <v>506</v>
      </c>
      <c r="B6" s="51" t="s">
        <v>499</v>
      </c>
      <c r="C6" s="52" t="s">
        <v>511</v>
      </c>
      <c r="D6" s="51" t="s">
        <v>14</v>
      </c>
      <c r="E6" s="54" t="s">
        <v>512</v>
      </c>
      <c r="F6" s="54"/>
      <c r="G6" s="51" t="s">
        <v>502</v>
      </c>
      <c r="H6" s="54" t="s">
        <v>513</v>
      </c>
      <c r="I6" s="54"/>
      <c r="J6" s="54"/>
      <c r="K6" s="51" t="s">
        <v>514</v>
      </c>
      <c r="L6" s="54" t="s">
        <v>515</v>
      </c>
    </row>
    <row r="7" spans="1:13" ht="37.5" customHeight="1">
      <c r="A7" s="55" t="s">
        <v>516</v>
      </c>
      <c r="B7" s="55" t="s">
        <v>499</v>
      </c>
      <c r="C7" s="56" t="s">
        <v>517</v>
      </c>
      <c r="D7" s="55" t="s">
        <v>14</v>
      </c>
      <c r="E7" s="57" t="s">
        <v>518</v>
      </c>
      <c r="F7" s="57"/>
      <c r="G7" s="55" t="s">
        <v>502</v>
      </c>
      <c r="H7" s="58" t="s">
        <v>519</v>
      </c>
      <c r="I7" s="58"/>
      <c r="J7" s="58"/>
      <c r="K7" s="58" t="s">
        <v>520</v>
      </c>
      <c r="L7" s="57" t="s">
        <v>521</v>
      </c>
    </row>
    <row r="8" spans="1:13" ht="37.5" customHeight="1">
      <c r="A8" s="55" t="s">
        <v>516</v>
      </c>
      <c r="B8" s="55" t="s">
        <v>499</v>
      </c>
      <c r="C8" s="56" t="s">
        <v>522</v>
      </c>
      <c r="D8" s="55" t="s">
        <v>14</v>
      </c>
      <c r="E8" s="58" t="s">
        <v>523</v>
      </c>
      <c r="F8" s="58"/>
      <c r="G8" s="55" t="s">
        <v>502</v>
      </c>
      <c r="H8" s="58" t="s">
        <v>524</v>
      </c>
      <c r="I8" s="58" t="s">
        <v>525</v>
      </c>
      <c r="J8" s="55" t="s">
        <v>526</v>
      </c>
      <c r="K8" s="59"/>
      <c r="L8" s="57"/>
    </row>
    <row r="9" spans="1:13" ht="37.5" customHeight="1">
      <c r="A9" s="55" t="s">
        <v>516</v>
      </c>
      <c r="B9" s="55" t="s">
        <v>499</v>
      </c>
      <c r="C9" s="56" t="s">
        <v>527</v>
      </c>
      <c r="D9" s="55" t="s">
        <v>14</v>
      </c>
      <c r="E9" s="56" t="s">
        <v>528</v>
      </c>
      <c r="F9" s="56"/>
      <c r="G9" s="55" t="s">
        <v>502</v>
      </c>
      <c r="H9" s="58" t="s">
        <v>529</v>
      </c>
      <c r="I9" s="55" t="s">
        <v>525</v>
      </c>
      <c r="J9" s="55" t="s">
        <v>530</v>
      </c>
      <c r="K9" s="58" t="s">
        <v>531</v>
      </c>
      <c r="L9" s="57" t="s">
        <v>532</v>
      </c>
    </row>
    <row r="10" spans="1:13" ht="37.5" customHeight="1">
      <c r="A10" s="60" t="s">
        <v>533</v>
      </c>
      <c r="B10" s="60" t="s">
        <v>499</v>
      </c>
      <c r="C10" s="61" t="s">
        <v>534</v>
      </c>
      <c r="D10" s="60" t="s">
        <v>14</v>
      </c>
      <c r="E10" s="62" t="s">
        <v>535</v>
      </c>
      <c r="F10" s="62"/>
      <c r="G10" s="60" t="s">
        <v>502</v>
      </c>
      <c r="H10" s="62" t="s">
        <v>536</v>
      </c>
      <c r="I10" s="62" t="s">
        <v>537</v>
      </c>
      <c r="J10" s="62"/>
      <c r="K10" s="62" t="s">
        <v>538</v>
      </c>
      <c r="L10" s="63" t="s">
        <v>539</v>
      </c>
    </row>
    <row r="11" spans="1:13" ht="37.5" customHeight="1">
      <c r="A11" s="60" t="s">
        <v>533</v>
      </c>
      <c r="B11" s="60" t="s">
        <v>499</v>
      </c>
      <c r="C11" s="61" t="s">
        <v>540</v>
      </c>
      <c r="D11" s="60" t="s">
        <v>14</v>
      </c>
      <c r="E11" s="62" t="s">
        <v>541</v>
      </c>
      <c r="F11" s="62"/>
      <c r="G11" s="60" t="s">
        <v>502</v>
      </c>
      <c r="H11" s="62" t="s">
        <v>542</v>
      </c>
      <c r="I11" s="60"/>
      <c r="J11" s="60"/>
      <c r="K11" s="60" t="s">
        <v>543</v>
      </c>
      <c r="L11" s="63"/>
    </row>
    <row r="12" spans="1:13" ht="37.5" customHeight="1">
      <c r="A12" s="60" t="s">
        <v>533</v>
      </c>
      <c r="B12" s="60" t="s">
        <v>499</v>
      </c>
      <c r="C12" s="61" t="s">
        <v>544</v>
      </c>
      <c r="D12" s="60" t="s">
        <v>14</v>
      </c>
      <c r="E12" s="62" t="s">
        <v>545</v>
      </c>
      <c r="F12" s="62"/>
      <c r="G12" s="60" t="s">
        <v>502</v>
      </c>
      <c r="H12" s="60" t="s">
        <v>529</v>
      </c>
      <c r="I12" s="60"/>
      <c r="J12" s="60"/>
      <c r="K12" s="60" t="s">
        <v>546</v>
      </c>
      <c r="L12" s="63"/>
    </row>
    <row r="13" spans="1:13" ht="37.5" customHeight="1">
      <c r="A13" s="64" t="s">
        <v>547</v>
      </c>
      <c r="B13" s="64" t="s">
        <v>499</v>
      </c>
      <c r="C13" s="65" t="s">
        <v>548</v>
      </c>
      <c r="D13" s="64" t="s">
        <v>14</v>
      </c>
      <c r="E13" s="66" t="s">
        <v>549</v>
      </c>
      <c r="F13" s="66"/>
      <c r="G13" s="64" t="s">
        <v>502</v>
      </c>
      <c r="H13" s="64" t="s">
        <v>550</v>
      </c>
      <c r="I13" s="64"/>
      <c r="J13" s="64"/>
      <c r="K13" s="64" t="s">
        <v>551</v>
      </c>
      <c r="L13" s="66"/>
    </row>
    <row r="14" spans="1:13" ht="37.5" customHeight="1">
      <c r="A14" s="64" t="s">
        <v>547</v>
      </c>
      <c r="B14" s="64" t="s">
        <v>499</v>
      </c>
      <c r="C14" s="65" t="s">
        <v>552</v>
      </c>
      <c r="D14" s="64" t="s">
        <v>14</v>
      </c>
      <c r="E14" s="66" t="s">
        <v>553</v>
      </c>
      <c r="F14" s="66"/>
      <c r="G14" s="64" t="s">
        <v>554</v>
      </c>
      <c r="H14" s="64" t="s">
        <v>519</v>
      </c>
      <c r="I14" s="64"/>
      <c r="J14" s="64"/>
      <c r="K14" s="64" t="s">
        <v>551</v>
      </c>
      <c r="L14" s="66"/>
    </row>
    <row r="15" spans="1:13" ht="37.5" customHeight="1">
      <c r="A15" s="67" t="s">
        <v>555</v>
      </c>
      <c r="B15" s="67" t="s">
        <v>499</v>
      </c>
      <c r="C15" s="68" t="s">
        <v>556</v>
      </c>
      <c r="D15" s="67" t="s">
        <v>14</v>
      </c>
      <c r="E15" s="69" t="s">
        <v>557</v>
      </c>
      <c r="F15" s="69"/>
      <c r="G15" s="67" t="s">
        <v>502</v>
      </c>
      <c r="H15" s="69" t="s">
        <v>558</v>
      </c>
      <c r="I15" s="69"/>
      <c r="J15" s="69"/>
      <c r="K15" s="67" t="s">
        <v>551</v>
      </c>
      <c r="L15" s="70" t="s">
        <v>559</v>
      </c>
    </row>
    <row r="16" spans="1:13" ht="37.5" customHeight="1">
      <c r="A16" s="67" t="s">
        <v>555</v>
      </c>
      <c r="B16" s="67" t="s">
        <v>499</v>
      </c>
      <c r="C16" s="68" t="s">
        <v>560</v>
      </c>
      <c r="D16" s="67" t="s">
        <v>14</v>
      </c>
      <c r="E16" s="69" t="s">
        <v>561</v>
      </c>
      <c r="F16" s="69"/>
      <c r="G16" s="67" t="s">
        <v>502</v>
      </c>
      <c r="H16" s="69" t="s">
        <v>562</v>
      </c>
      <c r="I16" s="69"/>
      <c r="J16" s="69"/>
      <c r="K16" s="67" t="s">
        <v>551</v>
      </c>
      <c r="L16" s="69" t="s">
        <v>563</v>
      </c>
    </row>
    <row r="17" spans="1:17" ht="37.5" customHeight="1">
      <c r="A17" s="60" t="s">
        <v>564</v>
      </c>
      <c r="B17" s="60" t="s">
        <v>499</v>
      </c>
      <c r="C17" s="61" t="s">
        <v>565</v>
      </c>
      <c r="D17" s="60" t="s">
        <v>14</v>
      </c>
      <c r="E17" s="62" t="s">
        <v>566</v>
      </c>
      <c r="F17" s="62"/>
      <c r="G17" s="60" t="s">
        <v>554</v>
      </c>
      <c r="H17" s="60" t="s">
        <v>567</v>
      </c>
      <c r="I17" s="60"/>
      <c r="J17" s="60"/>
      <c r="K17" s="60" t="s">
        <v>551</v>
      </c>
      <c r="L17" s="62" t="s">
        <v>568</v>
      </c>
    </row>
    <row r="18" spans="1:17" ht="37.5" customHeight="1">
      <c r="A18" s="60" t="s">
        <v>564</v>
      </c>
      <c r="B18" s="60" t="s">
        <v>569</v>
      </c>
      <c r="C18" s="61" t="s">
        <v>570</v>
      </c>
      <c r="D18" s="60" t="s">
        <v>14</v>
      </c>
      <c r="E18" s="62" t="s">
        <v>571</v>
      </c>
      <c r="F18" s="62"/>
      <c r="G18" s="60" t="s">
        <v>502</v>
      </c>
      <c r="H18" s="62" t="s">
        <v>572</v>
      </c>
      <c r="I18" s="62"/>
      <c r="J18" s="62"/>
      <c r="K18" s="60" t="s">
        <v>551</v>
      </c>
      <c r="L18" s="62"/>
    </row>
    <row r="19" spans="1:17" ht="37.5" customHeight="1">
      <c r="A19" s="47" t="s">
        <v>573</v>
      </c>
      <c r="B19" s="47" t="s">
        <v>499</v>
      </c>
      <c r="C19" s="71" t="s">
        <v>574</v>
      </c>
      <c r="D19" s="47" t="s">
        <v>14</v>
      </c>
      <c r="E19" s="48" t="s">
        <v>575</v>
      </c>
      <c r="F19" s="48"/>
      <c r="G19" s="47" t="s">
        <v>502</v>
      </c>
      <c r="H19" s="47" t="s">
        <v>576</v>
      </c>
      <c r="I19" s="47"/>
      <c r="J19" s="47"/>
      <c r="K19" s="47" t="s">
        <v>551</v>
      </c>
      <c r="L19" s="48"/>
    </row>
    <row r="20" spans="1:17" s="43" customFormat="1" ht="37.5" customHeight="1">
      <c r="A20" s="72" t="s">
        <v>577</v>
      </c>
      <c r="B20" s="72" t="s">
        <v>499</v>
      </c>
      <c r="C20" s="52" t="s">
        <v>578</v>
      </c>
      <c r="D20" s="72" t="s">
        <v>14</v>
      </c>
      <c r="E20" s="52" t="s">
        <v>579</v>
      </c>
      <c r="F20" s="52"/>
      <c r="G20" s="72" t="s">
        <v>502</v>
      </c>
      <c r="H20" s="72" t="s">
        <v>576</v>
      </c>
      <c r="I20" s="72"/>
      <c r="J20" s="72"/>
      <c r="K20" s="72" t="s">
        <v>580</v>
      </c>
      <c r="L20" s="52"/>
      <c r="Q20" s="1"/>
    </row>
    <row r="21" spans="1:17" ht="37.5" customHeight="1">
      <c r="A21" s="55" t="s">
        <v>581</v>
      </c>
      <c r="B21" s="55" t="s">
        <v>499</v>
      </c>
      <c r="C21" s="56" t="s">
        <v>582</v>
      </c>
      <c r="D21" s="55" t="s">
        <v>14</v>
      </c>
      <c r="E21" s="57" t="s">
        <v>583</v>
      </c>
      <c r="F21" s="57"/>
      <c r="G21" s="55" t="s">
        <v>502</v>
      </c>
      <c r="H21" s="55" t="s">
        <v>576</v>
      </c>
      <c r="I21" s="55"/>
      <c r="J21" s="55"/>
      <c r="K21" s="73" t="s">
        <v>584</v>
      </c>
      <c r="L21" s="57"/>
    </row>
    <row r="22" spans="1:17" s="26" customFormat="1" ht="37.5" customHeight="1">
      <c r="A22" s="74" t="s">
        <v>585</v>
      </c>
      <c r="B22" s="64" t="s">
        <v>499</v>
      </c>
      <c r="C22" s="65" t="s">
        <v>586</v>
      </c>
      <c r="D22" s="64" t="s">
        <v>14</v>
      </c>
      <c r="E22" s="75" t="s">
        <v>587</v>
      </c>
      <c r="F22" s="75"/>
      <c r="G22" s="64" t="s">
        <v>502</v>
      </c>
      <c r="H22" s="64" t="s">
        <v>588</v>
      </c>
      <c r="I22" s="74"/>
      <c r="J22" s="74"/>
      <c r="K22" s="74" t="s">
        <v>589</v>
      </c>
      <c r="L22" s="66"/>
    </row>
    <row r="23" spans="1:17" ht="37.5" customHeight="1">
      <c r="A23" s="64" t="s">
        <v>585</v>
      </c>
      <c r="B23" s="64" t="s">
        <v>499</v>
      </c>
      <c r="C23" s="65" t="s">
        <v>590</v>
      </c>
      <c r="D23" s="64" t="s">
        <v>14</v>
      </c>
      <c r="E23" s="66" t="s">
        <v>591</v>
      </c>
      <c r="F23" s="66"/>
      <c r="G23" s="64" t="s">
        <v>502</v>
      </c>
      <c r="H23" s="64" t="s">
        <v>588</v>
      </c>
      <c r="I23" s="64"/>
      <c r="J23" s="64"/>
      <c r="K23" s="64" t="s">
        <v>592</v>
      </c>
      <c r="L23" s="66"/>
    </row>
    <row r="24" spans="1:17" ht="37.5" customHeight="1">
      <c r="A24" s="64" t="s">
        <v>585</v>
      </c>
      <c r="B24" s="64" t="s">
        <v>499</v>
      </c>
      <c r="C24" s="65" t="s">
        <v>593</v>
      </c>
      <c r="D24" s="64" t="s">
        <v>14</v>
      </c>
      <c r="E24" s="66" t="s">
        <v>594</v>
      </c>
      <c r="F24" s="66"/>
      <c r="G24" s="64" t="s">
        <v>502</v>
      </c>
      <c r="H24" s="64" t="s">
        <v>588</v>
      </c>
      <c r="I24" s="64"/>
      <c r="J24" s="64"/>
      <c r="K24" s="64" t="s">
        <v>589</v>
      </c>
      <c r="L24" s="66"/>
    </row>
    <row r="25" spans="1:17" ht="37.5" customHeight="1">
      <c r="A25" s="64" t="s">
        <v>585</v>
      </c>
      <c r="B25" s="64" t="s">
        <v>499</v>
      </c>
      <c r="C25" s="65" t="s">
        <v>595</v>
      </c>
      <c r="D25" s="64" t="s">
        <v>14</v>
      </c>
      <c r="E25" s="66" t="s">
        <v>596</v>
      </c>
      <c r="F25" s="66"/>
      <c r="G25" s="64" t="s">
        <v>502</v>
      </c>
      <c r="H25" s="64" t="s">
        <v>588</v>
      </c>
      <c r="I25" s="64"/>
      <c r="J25" s="64"/>
      <c r="K25" s="76" t="s">
        <v>597</v>
      </c>
      <c r="L25" s="77" t="s">
        <v>598</v>
      </c>
    </row>
    <row r="26" spans="1:17" ht="37.5" customHeight="1">
      <c r="A26" s="67" t="s">
        <v>599</v>
      </c>
      <c r="B26" s="67" t="s">
        <v>499</v>
      </c>
      <c r="C26" s="68" t="s">
        <v>600</v>
      </c>
      <c r="D26" s="67" t="s">
        <v>14</v>
      </c>
      <c r="E26" s="69" t="s">
        <v>601</v>
      </c>
      <c r="F26" s="69"/>
      <c r="G26" s="67" t="s">
        <v>502</v>
      </c>
      <c r="H26" s="69" t="s">
        <v>602</v>
      </c>
      <c r="I26" s="69"/>
      <c r="J26" s="69"/>
      <c r="K26" s="78" t="s">
        <v>603</v>
      </c>
      <c r="L26" s="70"/>
    </row>
    <row r="27" spans="1:17" ht="37.5" customHeight="1">
      <c r="A27" s="60" t="s">
        <v>604</v>
      </c>
      <c r="B27" s="60" t="s">
        <v>569</v>
      </c>
      <c r="C27" s="61" t="s">
        <v>605</v>
      </c>
      <c r="D27" s="60" t="s">
        <v>14</v>
      </c>
      <c r="E27" s="63" t="s">
        <v>606</v>
      </c>
      <c r="F27" s="63"/>
      <c r="G27" s="60" t="s">
        <v>502</v>
      </c>
      <c r="H27" s="60" t="s">
        <v>607</v>
      </c>
      <c r="I27" s="60"/>
      <c r="J27" s="60"/>
      <c r="K27" s="79" t="s">
        <v>608</v>
      </c>
      <c r="L27" s="62"/>
    </row>
    <row r="28" spans="1:17" s="43" customFormat="1" ht="37.5" customHeight="1">
      <c r="A28" s="44" t="s">
        <v>609</v>
      </c>
      <c r="B28" s="44" t="s">
        <v>499</v>
      </c>
      <c r="C28" s="80" t="s">
        <v>610</v>
      </c>
      <c r="D28" s="44" t="s">
        <v>20</v>
      </c>
      <c r="E28" s="81" t="s">
        <v>611</v>
      </c>
      <c r="F28" s="81"/>
      <c r="G28" s="44" t="s">
        <v>502</v>
      </c>
      <c r="H28" s="44" t="s">
        <v>612</v>
      </c>
      <c r="I28" s="44"/>
      <c r="J28" s="44"/>
      <c r="K28" s="82"/>
      <c r="L28" s="81" t="s">
        <v>613</v>
      </c>
    </row>
    <row r="29" spans="1:17" s="43" customFormat="1" ht="37.5" customHeight="1">
      <c r="A29" s="83" t="s">
        <v>614</v>
      </c>
      <c r="B29" s="83" t="s">
        <v>499</v>
      </c>
      <c r="C29" s="84" t="s">
        <v>615</v>
      </c>
      <c r="D29" s="83" t="s">
        <v>14</v>
      </c>
      <c r="E29" s="85" t="s">
        <v>616</v>
      </c>
      <c r="F29" s="85"/>
      <c r="G29" s="83" t="s">
        <v>502</v>
      </c>
      <c r="H29" s="83" t="s">
        <v>617</v>
      </c>
      <c r="I29" s="83"/>
      <c r="J29" s="83"/>
      <c r="K29" s="86" t="s">
        <v>618</v>
      </c>
      <c r="L29" s="85"/>
    </row>
    <row r="30" spans="1:17" s="43" customFormat="1" ht="37.5" customHeight="1">
      <c r="A30" s="83" t="s">
        <v>614</v>
      </c>
      <c r="B30" s="83" t="s">
        <v>499</v>
      </c>
      <c r="C30" s="84" t="s">
        <v>619</v>
      </c>
      <c r="D30" s="83" t="s">
        <v>14</v>
      </c>
      <c r="E30" s="85" t="s">
        <v>620</v>
      </c>
      <c r="F30" s="85"/>
      <c r="G30" s="83" t="s">
        <v>502</v>
      </c>
      <c r="H30" s="83" t="s">
        <v>621</v>
      </c>
      <c r="I30" s="83"/>
      <c r="J30" s="83"/>
      <c r="K30" s="86" t="s">
        <v>622</v>
      </c>
      <c r="L30" s="85"/>
    </row>
    <row r="31" spans="1:17" ht="37.5" customHeight="1">
      <c r="A31" s="87" t="s">
        <v>623</v>
      </c>
      <c r="B31" s="87" t="s">
        <v>499</v>
      </c>
      <c r="C31" s="88" t="s">
        <v>624</v>
      </c>
      <c r="D31" s="87" t="s">
        <v>14</v>
      </c>
      <c r="E31" s="89" t="s">
        <v>625</v>
      </c>
      <c r="F31" s="89"/>
      <c r="G31" s="87" t="s">
        <v>502</v>
      </c>
      <c r="H31" s="87" t="s">
        <v>626</v>
      </c>
      <c r="I31" s="87"/>
      <c r="J31" s="87"/>
      <c r="K31" s="90" t="s">
        <v>627</v>
      </c>
      <c r="L31" s="91"/>
    </row>
    <row r="32" spans="1:17" ht="37.5" customHeight="1">
      <c r="A32" s="47" t="s">
        <v>628</v>
      </c>
      <c r="B32" s="47" t="s">
        <v>569</v>
      </c>
      <c r="C32" s="71" t="s">
        <v>629</v>
      </c>
      <c r="D32" s="47" t="s">
        <v>14</v>
      </c>
      <c r="E32" s="50" t="s">
        <v>630</v>
      </c>
      <c r="F32" s="50"/>
      <c r="G32" s="47" t="s">
        <v>631</v>
      </c>
      <c r="H32" s="48" t="s">
        <v>632</v>
      </c>
      <c r="I32" s="48"/>
      <c r="J32" s="48"/>
      <c r="K32" s="47" t="s">
        <v>484</v>
      </c>
      <c r="L32" s="48"/>
    </row>
    <row r="33" spans="1:12" s="43" customFormat="1" ht="37.5" customHeight="1">
      <c r="A33" s="44" t="s">
        <v>633</v>
      </c>
      <c r="B33" s="44" t="s">
        <v>569</v>
      </c>
      <c r="C33" s="80" t="s">
        <v>634</v>
      </c>
      <c r="D33" s="92" t="s">
        <v>20</v>
      </c>
      <c r="E33" s="80" t="s">
        <v>635</v>
      </c>
      <c r="F33" s="80"/>
      <c r="G33" s="44" t="s">
        <v>502</v>
      </c>
      <c r="H33" s="44" t="s">
        <v>636</v>
      </c>
      <c r="I33" s="44"/>
      <c r="J33" s="44"/>
      <c r="K33" s="44" t="s">
        <v>637</v>
      </c>
      <c r="L33" s="81" t="s">
        <v>638</v>
      </c>
    </row>
    <row r="34" spans="1:12" s="43" customFormat="1" ht="37.5" customHeight="1">
      <c r="A34" s="93" t="s">
        <v>639</v>
      </c>
      <c r="B34" s="93" t="s">
        <v>569</v>
      </c>
      <c r="C34" s="56" t="s">
        <v>640</v>
      </c>
      <c r="D34" s="92" t="s">
        <v>20</v>
      </c>
      <c r="E34" s="56" t="s">
        <v>641</v>
      </c>
      <c r="F34" s="56"/>
      <c r="G34" s="93" t="s">
        <v>502</v>
      </c>
      <c r="H34" s="93" t="s">
        <v>642</v>
      </c>
      <c r="I34" s="93"/>
      <c r="J34" s="93"/>
      <c r="K34" s="93" t="s">
        <v>637</v>
      </c>
      <c r="L34" s="56" t="s">
        <v>643</v>
      </c>
    </row>
    <row r="35" spans="1:12" s="43" customFormat="1" ht="37.5" customHeight="1">
      <c r="A35" s="94" t="s">
        <v>644</v>
      </c>
      <c r="B35" s="94" t="s">
        <v>569</v>
      </c>
      <c r="C35" s="65" t="s">
        <v>645</v>
      </c>
      <c r="D35" s="92" t="s">
        <v>20</v>
      </c>
      <c r="E35" s="65" t="s">
        <v>646</v>
      </c>
      <c r="F35" s="65"/>
      <c r="G35" s="94" t="s">
        <v>502</v>
      </c>
      <c r="H35" s="94" t="s">
        <v>647</v>
      </c>
      <c r="I35" s="94"/>
      <c r="J35" s="94"/>
      <c r="K35" s="94" t="s">
        <v>637</v>
      </c>
      <c r="L35" s="65" t="s">
        <v>648</v>
      </c>
    </row>
    <row r="36" spans="1:12" ht="39" customHeight="1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ht="39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8"/>
    </row>
    <row r="38" spans="1:12" ht="39" customHeight="1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39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8"/>
    </row>
    <row r="40" spans="1:12" ht="39" customHeight="1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6"/>
    </row>
    <row r="41" spans="1:12" ht="39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8"/>
    </row>
    <row r="42" spans="1:12" ht="39" customHeight="1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6"/>
    </row>
    <row r="43" spans="1:12" ht="39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8"/>
    </row>
    <row r="44" spans="1:12" ht="39" customHeight="1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6"/>
    </row>
    <row r="45" spans="1:12" ht="39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8"/>
    </row>
    <row r="46" spans="1:12" ht="39" customHeight="1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6"/>
    </row>
    <row r="47" spans="1:12" ht="39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8"/>
    </row>
    <row r="48" spans="1:12" ht="39" customHeight="1"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6"/>
    </row>
    <row r="49" spans="1:12" ht="39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8"/>
    </row>
    <row r="50" spans="1:12" ht="39" customHeight="1"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6"/>
    </row>
    <row r="51" spans="1:12" ht="39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8"/>
    </row>
    <row r="52" spans="1:12" ht="39" customHeight="1"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6"/>
    </row>
    <row r="53" spans="1:12" ht="39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8"/>
    </row>
    <row r="54" spans="1:12" ht="39" customHeight="1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6"/>
    </row>
    <row r="55" spans="1:12" ht="39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8"/>
    </row>
    <row r="56" spans="1:12" ht="39" customHeight="1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6"/>
    </row>
    <row r="57" spans="1:12" ht="39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8"/>
    </row>
    <row r="58" spans="1:12" ht="39" customHeight="1"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6"/>
    </row>
    <row r="59" spans="1:12" ht="39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8"/>
    </row>
    <row r="60" spans="1:12" ht="39" customHeight="1"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6"/>
    </row>
    <row r="61" spans="1:12" ht="39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8"/>
    </row>
    <row r="62" spans="1:12" ht="39" customHeight="1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6"/>
    </row>
    <row r="63" spans="1:12" ht="39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8"/>
    </row>
    <row r="64" spans="1:12" ht="39" customHeight="1"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6"/>
    </row>
    <row r="65" spans="1:12" ht="39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8"/>
    </row>
    <row r="66" spans="1:12" ht="39" customHeight="1"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6"/>
    </row>
    <row r="67" spans="1:12" ht="39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8"/>
    </row>
    <row r="68" spans="1:12" ht="39" customHeight="1"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6"/>
    </row>
    <row r="69" spans="1:12" ht="39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8"/>
    </row>
    <row r="70" spans="1:12" ht="39" customHeight="1"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6"/>
    </row>
    <row r="71" spans="1:12" ht="39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8"/>
    </row>
    <row r="72" spans="1:12" ht="39" customHeight="1"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6"/>
    </row>
    <row r="73" spans="1:12" ht="39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8"/>
    </row>
    <row r="74" spans="1:12" ht="39" customHeight="1"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6"/>
    </row>
    <row r="75" spans="1:12" ht="39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8"/>
    </row>
    <row r="76" spans="1:12" ht="39" customHeight="1"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6"/>
    </row>
    <row r="77" spans="1:12" ht="39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8"/>
    </row>
    <row r="78" spans="1:12" ht="39" customHeight="1"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6"/>
    </row>
    <row r="79" spans="1:12" ht="39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8"/>
    </row>
    <row r="80" spans="1:12" ht="39" customHeight="1"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6"/>
    </row>
    <row r="81" spans="1:12" ht="39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8"/>
    </row>
    <row r="82" spans="1:12" ht="39" customHeight="1"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6"/>
    </row>
    <row r="83" spans="1:12" ht="39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8"/>
    </row>
    <row r="84" spans="1:12" ht="39" customHeight="1"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6"/>
    </row>
    <row r="85" spans="1:12" ht="39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8"/>
    </row>
    <row r="86" spans="1:12" ht="39" customHeight="1"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6"/>
    </row>
    <row r="87" spans="1:12" ht="39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8"/>
    </row>
    <row r="88" spans="1:12" ht="39" customHeight="1"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6"/>
    </row>
    <row r="89" spans="1:12" ht="39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8"/>
    </row>
    <row r="90" spans="1:12" ht="39" customHeight="1"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6"/>
    </row>
    <row r="91" spans="1:12" ht="39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8"/>
    </row>
    <row r="92" spans="1:12" ht="39" customHeight="1"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6"/>
    </row>
    <row r="93" spans="1:12" ht="39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8"/>
    </row>
    <row r="94" spans="1:12" ht="39" customHeight="1"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6"/>
    </row>
    <row r="95" spans="1:12" ht="39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8"/>
    </row>
    <row r="96" spans="1:12" ht="39" customHeight="1"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6"/>
    </row>
    <row r="97" spans="1:12" ht="39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8"/>
    </row>
    <row r="98" spans="1:12" ht="39" customHeight="1"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6"/>
    </row>
    <row r="99" spans="1:12" ht="39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8"/>
    </row>
    <row r="100" spans="1:12" ht="39" customHeight="1"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6"/>
    </row>
    <row r="101" spans="1:12" ht="39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8"/>
    </row>
    <row r="102" spans="1:12" ht="39" customHeight="1"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6"/>
    </row>
    <row r="103" spans="1:12" ht="39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8"/>
    </row>
    <row r="104" spans="1:12" ht="39" customHeight="1"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6"/>
    </row>
    <row r="105" spans="1:12" ht="39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8"/>
    </row>
    <row r="106" spans="1:12" ht="39" customHeight="1"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6"/>
    </row>
    <row r="107" spans="1:12" ht="39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8"/>
    </row>
    <row r="108" spans="1:12" ht="39" customHeight="1"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6"/>
    </row>
    <row r="109" spans="1:12" ht="39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8"/>
    </row>
    <row r="110" spans="1:12" ht="39" customHeight="1"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6"/>
    </row>
    <row r="111" spans="1:12" ht="39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8"/>
    </row>
    <row r="112" spans="1:12" ht="39" customHeight="1"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6"/>
    </row>
    <row r="113" spans="1:12" ht="39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8"/>
    </row>
    <row r="114" spans="1:12" ht="39" customHeight="1"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6"/>
    </row>
    <row r="115" spans="1:12" ht="39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8"/>
    </row>
    <row r="116" spans="1:12" ht="39" customHeight="1"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6"/>
    </row>
    <row r="117" spans="1:12" ht="39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8"/>
    </row>
    <row r="118" spans="1:12" ht="39" customHeight="1"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6"/>
    </row>
    <row r="119" spans="1:12" ht="39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8"/>
    </row>
    <row r="120" spans="1:12" ht="39" customHeight="1"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6"/>
    </row>
    <row r="121" spans="1:12" ht="39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8"/>
    </row>
    <row r="122" spans="1:12" ht="39" customHeight="1"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6"/>
    </row>
    <row r="123" spans="1:12" ht="39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8"/>
    </row>
    <row r="124" spans="1:12" ht="39" customHeight="1"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6"/>
    </row>
    <row r="125" spans="1:12" ht="39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8"/>
    </row>
    <row r="126" spans="1:12" ht="39" customHeight="1"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6"/>
    </row>
    <row r="127" spans="1:12" ht="39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8"/>
    </row>
    <row r="128" spans="1:12" ht="39" customHeight="1"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6"/>
    </row>
    <row r="129" spans="1:12" ht="39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8"/>
    </row>
    <row r="130" spans="1:12" ht="42.95" customHeight="1"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6"/>
    </row>
    <row r="131" spans="1:12" ht="42.95" customHeight="1"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6"/>
    </row>
    <row r="132" spans="1:12" ht="42.95" customHeight="1"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6"/>
    </row>
    <row r="133" spans="1:12" ht="42.95" customHeight="1"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6"/>
    </row>
    <row r="134" spans="1:12" ht="42.95" customHeight="1"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6"/>
    </row>
    <row r="135" spans="1:12" ht="42.95" customHeight="1"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6"/>
    </row>
    <row r="136" spans="1:12" ht="42.95" customHeight="1"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6"/>
    </row>
    <row r="137" spans="1:12" ht="42.95" customHeight="1"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6"/>
    </row>
    <row r="138" spans="1:12" ht="42.95" customHeight="1"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6"/>
    </row>
    <row r="139" spans="1:12" ht="42.95" customHeight="1"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6"/>
    </row>
    <row r="140" spans="1:12" ht="42.95" customHeight="1"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6"/>
    </row>
    <row r="141" spans="1:12" ht="42.95" customHeight="1"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6"/>
    </row>
    <row r="142" spans="1:12" ht="42.95" customHeight="1"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6"/>
    </row>
    <row r="143" spans="1:12" ht="42.95" customHeight="1"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6"/>
    </row>
    <row r="144" spans="1:12" ht="42.95" customHeight="1"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6"/>
    </row>
    <row r="145" spans="2:12" ht="42.95" customHeight="1"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6"/>
    </row>
    <row r="146" spans="2:12" ht="42.95" customHeight="1"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6"/>
    </row>
    <row r="147" spans="2:12" ht="42.95" customHeight="1"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6"/>
    </row>
    <row r="148" spans="2:12" ht="42.95" customHeight="1"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6"/>
    </row>
    <row r="149" spans="2:12" ht="42.95" customHeight="1"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6"/>
    </row>
    <row r="150" spans="2:12" ht="42.95" customHeight="1"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6"/>
    </row>
    <row r="151" spans="2:12" ht="42.95" customHeight="1"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6"/>
    </row>
    <row r="152" spans="2:12" ht="42.95" customHeight="1"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6"/>
    </row>
    <row r="153" spans="2:12" ht="42.95" customHeight="1"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6"/>
    </row>
    <row r="154" spans="2:12" ht="42.95" customHeight="1"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6"/>
    </row>
    <row r="155" spans="2:12" ht="42.95" customHeight="1"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6"/>
    </row>
    <row r="156" spans="2:12" ht="42.95" customHeight="1"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6"/>
    </row>
    <row r="157" spans="2:12" ht="42.95" customHeight="1"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6"/>
    </row>
    <row r="158" spans="2:12" ht="42.95" customHeight="1"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6"/>
    </row>
    <row r="159" spans="2:12" ht="42.95" customHeight="1"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6"/>
    </row>
    <row r="160" spans="2:12" ht="42.95" customHeight="1"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6"/>
    </row>
    <row r="161" spans="2:12" ht="42.95" customHeight="1"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6"/>
    </row>
    <row r="162" spans="2:12" ht="42.95" customHeight="1"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6"/>
    </row>
  </sheetData>
  <autoFilter ref="A2:K35" xr:uid="{00000000-0009-0000-0000-000002000000}"/>
  <mergeCells count="13">
    <mergeCell ref="A1:B1"/>
    <mergeCell ref="C1:L1"/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K3"/>
    <mergeCell ref="L2:L3"/>
  </mergeCells>
  <conditionalFormatting sqref="D13:F14">
    <cfRule type="containsText" dxfId="21" priority="5" operator="containsText" text="SIM">
      <formula>NOT(ISERROR(SEARCH("SIM",D13)))</formula>
    </cfRule>
    <cfRule type="containsText" dxfId="20" priority="6" operator="containsText" text="NÃO">
      <formula>NOT(ISERROR(SEARCH("NÃO",D13)))</formula>
    </cfRule>
  </conditionalFormatting>
  <conditionalFormatting sqref="F4:F35">
    <cfRule type="containsText" dxfId="19" priority="7" operator="containsText" text="SIM">
      <formula>NOT(ISERROR(SEARCH("SIM",F4)))</formula>
    </cfRule>
    <cfRule type="containsText" dxfId="18" priority="8" operator="containsText" text="NÃO">
      <formula>NOT(ISERROR(SEARCH("NÃO",F4)))</formula>
    </cfRule>
  </conditionalFormatting>
  <conditionalFormatting sqref="G5:G162">
    <cfRule type="containsText" dxfId="17" priority="13" operator="containsText" text="SIM">
      <formula>NOT(ISERROR(SEARCH("SIM",G5)))</formula>
    </cfRule>
    <cfRule type="containsText" dxfId="16" priority="14" operator="containsText" text="NÃO">
      <formula>NOT(ISERROR(SEARCH("NÃO",G5)))</formula>
    </cfRule>
  </conditionalFormatting>
  <conditionalFormatting sqref="G13:G15">
    <cfRule type="containsText" dxfId="15" priority="11" operator="containsText" text="SIM">
      <formula>NOT(ISERROR(SEARCH("SIM",G13)))</formula>
    </cfRule>
    <cfRule type="containsText" dxfId="14" priority="12" operator="containsText" text="NÃO">
      <formula>NOT(ISERROR(SEARCH("NÃO",G13)))</formula>
    </cfRule>
  </conditionalFormatting>
  <conditionalFormatting sqref="G17:G18">
    <cfRule type="containsText" dxfId="13" priority="9" operator="containsText" text="SIM">
      <formula>NOT(ISERROR(SEARCH("SIM",G17)))</formula>
    </cfRule>
    <cfRule type="containsText" dxfId="12" priority="10" operator="containsText" text="NÃO">
      <formula>NOT(ISERROR(SEARCH("NÃO",G17)))</formula>
    </cfRule>
  </conditionalFormatting>
  <pageMargins left="0.7" right="0.7" top="1.25" bottom="0.75" header="0.3" footer="0.3"/>
  <pageSetup paperSize="9" orientation="landscape" horizontalDpi="2147483648" verticalDpi="2147483648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162"/>
  <sheetViews>
    <sheetView topLeftCell="F1" zoomScale="85" workbookViewId="0">
      <pane ySplit="3" topLeftCell="A4" activePane="bottomLeft" state="frozen"/>
      <selection activeCell="F1" sqref="F1"/>
      <selection pane="bottomLeft" activeCell="F1" sqref="F1"/>
    </sheetView>
  </sheetViews>
  <sheetFormatPr defaultColWidth="10.875" defaultRowHeight="14.25"/>
  <cols>
    <col min="1" max="1" width="22" style="1" customWidth="1"/>
    <col min="2" max="2" width="20.875" style="1" customWidth="1"/>
    <col min="3" max="3" width="61.625" style="1" customWidth="1"/>
    <col min="4" max="4" width="16.5" style="1" customWidth="1"/>
    <col min="5" max="5" width="66.125" style="1" customWidth="1"/>
    <col min="6" max="6" width="24.875" style="1" bestFit="1" customWidth="1"/>
    <col min="7" max="7" width="50.5" style="1" customWidth="1"/>
    <col min="8" max="9" width="29" style="1" customWidth="1"/>
    <col min="10" max="10" width="44.125" style="1" customWidth="1"/>
    <col min="11" max="11" width="87.5" style="45" customWidth="1"/>
    <col min="12" max="16384" width="10.875" style="1"/>
  </cols>
  <sheetData>
    <row r="1" spans="1:12" ht="75.75" customHeight="1">
      <c r="A1" s="208"/>
      <c r="B1" s="209"/>
      <c r="C1" s="210" t="s">
        <v>485</v>
      </c>
      <c r="D1" s="210"/>
      <c r="E1" s="210"/>
      <c r="F1" s="210"/>
      <c r="G1" s="210"/>
      <c r="H1" s="210"/>
      <c r="I1" s="210"/>
      <c r="J1" s="210"/>
      <c r="K1" s="211"/>
      <c r="L1" s="5"/>
    </row>
    <row r="2" spans="1:12" ht="60.75" customHeight="1">
      <c r="A2" s="212" t="s">
        <v>486</v>
      </c>
      <c r="B2" s="212" t="s">
        <v>487</v>
      </c>
      <c r="C2" s="212" t="s">
        <v>488</v>
      </c>
      <c r="D2" s="212" t="s">
        <v>489</v>
      </c>
      <c r="E2" s="216" t="s">
        <v>490</v>
      </c>
      <c r="F2" s="212" t="s">
        <v>491</v>
      </c>
      <c r="G2" s="212" t="s">
        <v>492</v>
      </c>
      <c r="H2" s="212" t="s">
        <v>493</v>
      </c>
      <c r="I2" s="212" t="s">
        <v>494</v>
      </c>
      <c r="J2" s="212" t="s">
        <v>495</v>
      </c>
      <c r="K2" s="212" t="s">
        <v>11</v>
      </c>
    </row>
    <row r="3" spans="1:12" ht="24.95" customHeight="1">
      <c r="A3" s="213"/>
      <c r="B3" s="213"/>
      <c r="C3" s="213"/>
      <c r="D3" s="213"/>
      <c r="E3" s="212"/>
      <c r="F3" s="213"/>
      <c r="G3" s="213"/>
      <c r="H3" s="212"/>
      <c r="I3" s="213"/>
      <c r="J3" s="213"/>
      <c r="K3" s="213"/>
    </row>
    <row r="4" spans="1:12" ht="213.75">
      <c r="A4" s="47" t="s">
        <v>498</v>
      </c>
      <c r="B4" s="47" t="s">
        <v>499</v>
      </c>
      <c r="C4" s="48" t="s">
        <v>500</v>
      </c>
      <c r="D4" s="47" t="s">
        <v>14</v>
      </c>
      <c r="E4" s="49" t="s">
        <v>501</v>
      </c>
      <c r="F4" s="47" t="s">
        <v>502</v>
      </c>
      <c r="G4" s="50" t="s">
        <v>649</v>
      </c>
      <c r="H4" s="50"/>
      <c r="I4" s="50"/>
      <c r="J4" s="50" t="s">
        <v>504</v>
      </c>
      <c r="K4" s="50" t="s">
        <v>505</v>
      </c>
    </row>
    <row r="5" spans="1:12" ht="270.75">
      <c r="A5" s="51" t="s">
        <v>506</v>
      </c>
      <c r="B5" s="51" t="s">
        <v>499</v>
      </c>
      <c r="C5" s="52" t="s">
        <v>507</v>
      </c>
      <c r="D5" s="51" t="s">
        <v>14</v>
      </c>
      <c r="E5" s="53" t="s">
        <v>508</v>
      </c>
      <c r="F5" s="51" t="s">
        <v>502</v>
      </c>
      <c r="G5" s="54" t="s">
        <v>509</v>
      </c>
      <c r="H5" s="54"/>
      <c r="I5" s="54"/>
      <c r="J5" s="51" t="s">
        <v>510</v>
      </c>
      <c r="K5" s="53"/>
    </row>
    <row r="6" spans="1:12" ht="144.6" customHeight="1">
      <c r="A6" s="51" t="s">
        <v>506</v>
      </c>
      <c r="B6" s="51" t="s">
        <v>499</v>
      </c>
      <c r="C6" s="52" t="s">
        <v>511</v>
      </c>
      <c r="D6" s="51" t="s">
        <v>14</v>
      </c>
      <c r="E6" s="54" t="s">
        <v>512</v>
      </c>
      <c r="F6" s="51" t="s">
        <v>502</v>
      </c>
      <c r="G6" s="54" t="s">
        <v>513</v>
      </c>
      <c r="H6" s="54"/>
      <c r="I6" s="54"/>
      <c r="J6" s="51" t="s">
        <v>514</v>
      </c>
      <c r="K6" s="54" t="s">
        <v>515</v>
      </c>
    </row>
    <row r="7" spans="1:12" ht="95.25" customHeight="1">
      <c r="A7" s="55" t="s">
        <v>516</v>
      </c>
      <c r="B7" s="55" t="s">
        <v>499</v>
      </c>
      <c r="C7" s="56" t="s">
        <v>517</v>
      </c>
      <c r="D7" s="55" t="s">
        <v>14</v>
      </c>
      <c r="E7" s="57" t="s">
        <v>518</v>
      </c>
      <c r="F7" s="55" t="s">
        <v>502</v>
      </c>
      <c r="G7" s="58" t="s">
        <v>519</v>
      </c>
      <c r="H7" s="58"/>
      <c r="I7" s="58"/>
      <c r="J7" s="58" t="s">
        <v>520</v>
      </c>
      <c r="K7" s="57" t="s">
        <v>521</v>
      </c>
    </row>
    <row r="8" spans="1:12" ht="300.75">
      <c r="A8" s="55" t="s">
        <v>516</v>
      </c>
      <c r="B8" s="55" t="s">
        <v>499</v>
      </c>
      <c r="C8" s="56" t="s">
        <v>522</v>
      </c>
      <c r="D8" s="55" t="s">
        <v>14</v>
      </c>
      <c r="E8" s="58" t="s">
        <v>523</v>
      </c>
      <c r="F8" s="55"/>
      <c r="G8" s="58"/>
      <c r="H8" s="58"/>
      <c r="I8" s="58"/>
      <c r="J8" s="58"/>
      <c r="K8" s="57"/>
    </row>
    <row r="9" spans="1:12" ht="228">
      <c r="A9" s="55" t="s">
        <v>516</v>
      </c>
      <c r="B9" s="55" t="s">
        <v>499</v>
      </c>
      <c r="C9" s="56" t="s">
        <v>527</v>
      </c>
      <c r="D9" s="55" t="s">
        <v>14</v>
      </c>
      <c r="E9" s="56" t="s">
        <v>528</v>
      </c>
      <c r="F9" s="55" t="s">
        <v>502</v>
      </c>
      <c r="G9" s="58" t="s">
        <v>529</v>
      </c>
      <c r="H9" s="58"/>
      <c r="I9" s="58"/>
      <c r="J9" s="58" t="s">
        <v>531</v>
      </c>
      <c r="K9" s="57" t="s">
        <v>532</v>
      </c>
    </row>
    <row r="10" spans="1:12" ht="258">
      <c r="A10" s="60" t="s">
        <v>533</v>
      </c>
      <c r="B10" s="60" t="s">
        <v>499</v>
      </c>
      <c r="C10" s="61" t="s">
        <v>534</v>
      </c>
      <c r="D10" s="60" t="s">
        <v>14</v>
      </c>
      <c r="E10" s="62" t="s">
        <v>650</v>
      </c>
      <c r="F10" s="60" t="s">
        <v>502</v>
      </c>
      <c r="G10" s="62" t="s">
        <v>651</v>
      </c>
      <c r="H10" s="62" t="s">
        <v>537</v>
      </c>
      <c r="I10" s="62"/>
      <c r="J10" s="62" t="s">
        <v>538</v>
      </c>
      <c r="K10" s="63" t="s">
        <v>539</v>
      </c>
    </row>
    <row r="11" spans="1:12" ht="114">
      <c r="A11" s="60" t="s">
        <v>533</v>
      </c>
      <c r="B11" s="60" t="s">
        <v>499</v>
      </c>
      <c r="C11" s="61" t="s">
        <v>540</v>
      </c>
      <c r="D11" s="60" t="s">
        <v>14</v>
      </c>
      <c r="E11" s="62" t="s">
        <v>652</v>
      </c>
      <c r="F11" s="60" t="s">
        <v>502</v>
      </c>
      <c r="G11" s="60" t="s">
        <v>529</v>
      </c>
      <c r="H11" s="60"/>
      <c r="I11" s="60"/>
      <c r="J11" s="60" t="s">
        <v>543</v>
      </c>
      <c r="K11" s="63"/>
    </row>
    <row r="12" spans="1:12" ht="242.25">
      <c r="A12" s="60" t="s">
        <v>533</v>
      </c>
      <c r="B12" s="60" t="s">
        <v>499</v>
      </c>
      <c r="C12" s="61" t="s">
        <v>544</v>
      </c>
      <c r="D12" s="60" t="s">
        <v>14</v>
      </c>
      <c r="E12" s="62" t="s">
        <v>545</v>
      </c>
      <c r="F12" s="60" t="s">
        <v>502</v>
      </c>
      <c r="G12" s="60" t="s">
        <v>529</v>
      </c>
      <c r="H12" s="60"/>
      <c r="I12" s="60"/>
      <c r="J12" s="60" t="s">
        <v>546</v>
      </c>
      <c r="K12" s="63"/>
    </row>
    <row r="13" spans="1:12" ht="185.25">
      <c r="A13" s="64" t="s">
        <v>547</v>
      </c>
      <c r="B13" s="64" t="s">
        <v>499</v>
      </c>
      <c r="C13" s="65" t="s">
        <v>548</v>
      </c>
      <c r="D13" s="64" t="s">
        <v>14</v>
      </c>
      <c r="E13" s="66" t="s">
        <v>549</v>
      </c>
      <c r="F13" s="64" t="s">
        <v>502</v>
      </c>
      <c r="G13" s="64" t="s">
        <v>550</v>
      </c>
      <c r="H13" s="64"/>
      <c r="I13" s="64"/>
      <c r="J13" s="64" t="s">
        <v>551</v>
      </c>
      <c r="K13" s="66"/>
    </row>
    <row r="14" spans="1:12" ht="71.25">
      <c r="A14" s="64" t="s">
        <v>547</v>
      </c>
      <c r="B14" s="64" t="s">
        <v>499</v>
      </c>
      <c r="C14" s="65" t="s">
        <v>552</v>
      </c>
      <c r="D14" s="64" t="s">
        <v>14</v>
      </c>
      <c r="E14" s="66" t="s">
        <v>553</v>
      </c>
      <c r="F14" s="64" t="s">
        <v>554</v>
      </c>
      <c r="G14" s="64" t="s">
        <v>519</v>
      </c>
      <c r="H14" s="64"/>
      <c r="I14" s="64"/>
      <c r="J14" s="64" t="s">
        <v>551</v>
      </c>
      <c r="K14" s="66"/>
    </row>
    <row r="15" spans="1:12" ht="144.75">
      <c r="A15" s="67" t="s">
        <v>555</v>
      </c>
      <c r="B15" s="67" t="s">
        <v>499</v>
      </c>
      <c r="C15" s="68" t="s">
        <v>556</v>
      </c>
      <c r="D15" s="67" t="s">
        <v>14</v>
      </c>
      <c r="E15" s="69" t="s">
        <v>557</v>
      </c>
      <c r="F15" s="67" t="s">
        <v>502</v>
      </c>
      <c r="G15" s="69" t="s">
        <v>558</v>
      </c>
      <c r="H15" s="69"/>
      <c r="I15" s="69"/>
      <c r="J15" s="67" t="s">
        <v>551</v>
      </c>
      <c r="K15" s="70" t="s">
        <v>559</v>
      </c>
    </row>
    <row r="16" spans="1:12" ht="99.75">
      <c r="A16" s="67" t="s">
        <v>555</v>
      </c>
      <c r="B16" s="67" t="s">
        <v>499</v>
      </c>
      <c r="C16" s="68" t="s">
        <v>560</v>
      </c>
      <c r="D16" s="67" t="s">
        <v>14</v>
      </c>
      <c r="E16" s="69" t="s">
        <v>561</v>
      </c>
      <c r="F16" s="67" t="s">
        <v>502</v>
      </c>
      <c r="G16" s="69" t="s">
        <v>562</v>
      </c>
      <c r="H16" s="69"/>
      <c r="I16" s="69"/>
      <c r="J16" s="67" t="s">
        <v>551</v>
      </c>
      <c r="K16" s="69" t="s">
        <v>563</v>
      </c>
    </row>
    <row r="17" spans="1:16" ht="57">
      <c r="A17" s="60" t="s">
        <v>564</v>
      </c>
      <c r="B17" s="60" t="s">
        <v>499</v>
      </c>
      <c r="C17" s="61" t="s">
        <v>565</v>
      </c>
      <c r="D17" s="60" t="s">
        <v>14</v>
      </c>
      <c r="E17" s="62" t="s">
        <v>566</v>
      </c>
      <c r="F17" s="60" t="s">
        <v>554</v>
      </c>
      <c r="G17" s="60" t="s">
        <v>567</v>
      </c>
      <c r="H17" s="60"/>
      <c r="I17" s="60"/>
      <c r="J17" s="60" t="s">
        <v>551</v>
      </c>
      <c r="K17" s="62" t="s">
        <v>568</v>
      </c>
    </row>
    <row r="18" spans="1:16" ht="71.25">
      <c r="A18" s="60" t="s">
        <v>564</v>
      </c>
      <c r="B18" s="60" t="s">
        <v>569</v>
      </c>
      <c r="C18" s="61" t="s">
        <v>570</v>
      </c>
      <c r="D18" s="60" t="s">
        <v>14</v>
      </c>
      <c r="E18" s="62" t="s">
        <v>571</v>
      </c>
      <c r="F18" s="60" t="s">
        <v>502</v>
      </c>
      <c r="G18" s="62" t="s">
        <v>572</v>
      </c>
      <c r="H18" s="62"/>
      <c r="I18" s="62"/>
      <c r="J18" s="60" t="s">
        <v>551</v>
      </c>
      <c r="K18" s="62"/>
    </row>
    <row r="19" spans="1:16" ht="114">
      <c r="A19" s="47" t="s">
        <v>573</v>
      </c>
      <c r="B19" s="47" t="s">
        <v>499</v>
      </c>
      <c r="C19" s="71" t="s">
        <v>574</v>
      </c>
      <c r="D19" s="47" t="s">
        <v>14</v>
      </c>
      <c r="E19" s="48" t="s">
        <v>575</v>
      </c>
      <c r="F19" s="47" t="s">
        <v>502</v>
      </c>
      <c r="G19" s="47" t="s">
        <v>576</v>
      </c>
      <c r="H19" s="47"/>
      <c r="I19" s="47"/>
      <c r="J19" s="47" t="s">
        <v>551</v>
      </c>
      <c r="K19" s="48"/>
    </row>
    <row r="20" spans="1:16" s="43" customFormat="1" ht="97.5" customHeight="1">
      <c r="A20" s="72" t="s">
        <v>577</v>
      </c>
      <c r="B20" s="72" t="s">
        <v>499</v>
      </c>
      <c r="C20" s="52" t="s">
        <v>578</v>
      </c>
      <c r="D20" s="72" t="s">
        <v>14</v>
      </c>
      <c r="E20" s="52" t="s">
        <v>579</v>
      </c>
      <c r="F20" s="72" t="s">
        <v>502</v>
      </c>
      <c r="G20" s="72" t="s">
        <v>576</v>
      </c>
      <c r="H20" s="72"/>
      <c r="I20" s="72"/>
      <c r="J20" s="72" t="s">
        <v>580</v>
      </c>
      <c r="K20" s="52"/>
      <c r="P20" s="1"/>
    </row>
    <row r="21" spans="1:16" ht="97.5" customHeight="1">
      <c r="A21" s="55" t="s">
        <v>581</v>
      </c>
      <c r="B21" s="55" t="s">
        <v>499</v>
      </c>
      <c r="C21" s="56" t="s">
        <v>582</v>
      </c>
      <c r="D21" s="55" t="s">
        <v>14</v>
      </c>
      <c r="E21" s="57" t="s">
        <v>583</v>
      </c>
      <c r="F21" s="55" t="s">
        <v>502</v>
      </c>
      <c r="G21" s="55" t="s">
        <v>576</v>
      </c>
      <c r="H21" s="55"/>
      <c r="I21" s="55"/>
      <c r="J21" s="73" t="s">
        <v>584</v>
      </c>
      <c r="K21" s="57"/>
    </row>
    <row r="22" spans="1:16" s="26" customFormat="1" ht="97.5" customHeight="1">
      <c r="A22" s="74" t="s">
        <v>585</v>
      </c>
      <c r="B22" s="64" t="s">
        <v>499</v>
      </c>
      <c r="C22" s="65" t="s">
        <v>586</v>
      </c>
      <c r="D22" s="64" t="s">
        <v>14</v>
      </c>
      <c r="E22" s="75" t="s">
        <v>587</v>
      </c>
      <c r="F22" s="64" t="s">
        <v>502</v>
      </c>
      <c r="G22" s="64" t="s">
        <v>588</v>
      </c>
      <c r="H22" s="74"/>
      <c r="I22" s="74"/>
      <c r="J22" s="74" t="s">
        <v>589</v>
      </c>
      <c r="K22" s="66"/>
    </row>
    <row r="23" spans="1:16" ht="97.5" customHeight="1">
      <c r="A23" s="64" t="s">
        <v>585</v>
      </c>
      <c r="B23" s="64" t="s">
        <v>499</v>
      </c>
      <c r="C23" s="65" t="s">
        <v>590</v>
      </c>
      <c r="D23" s="64" t="s">
        <v>14</v>
      </c>
      <c r="E23" s="66" t="s">
        <v>591</v>
      </c>
      <c r="F23" s="64" t="s">
        <v>502</v>
      </c>
      <c r="G23" s="64" t="s">
        <v>588</v>
      </c>
      <c r="H23" s="64"/>
      <c r="I23" s="64"/>
      <c r="J23" s="64" t="s">
        <v>592</v>
      </c>
      <c r="K23" s="66"/>
    </row>
    <row r="24" spans="1:16" ht="97.5" customHeight="1">
      <c r="A24" s="64" t="s">
        <v>585</v>
      </c>
      <c r="B24" s="64" t="s">
        <v>499</v>
      </c>
      <c r="C24" s="65" t="s">
        <v>593</v>
      </c>
      <c r="D24" s="64" t="s">
        <v>14</v>
      </c>
      <c r="E24" s="66" t="s">
        <v>594</v>
      </c>
      <c r="F24" s="64" t="s">
        <v>502</v>
      </c>
      <c r="G24" s="64" t="s">
        <v>588</v>
      </c>
      <c r="H24" s="64"/>
      <c r="I24" s="64"/>
      <c r="J24" s="64" t="s">
        <v>589</v>
      </c>
      <c r="K24" s="66"/>
    </row>
    <row r="25" spans="1:16" ht="97.5" customHeight="1">
      <c r="A25" s="64" t="s">
        <v>585</v>
      </c>
      <c r="B25" s="64" t="s">
        <v>499</v>
      </c>
      <c r="C25" s="65" t="s">
        <v>595</v>
      </c>
      <c r="D25" s="64" t="s">
        <v>14</v>
      </c>
      <c r="E25" s="66" t="s">
        <v>596</v>
      </c>
      <c r="F25" s="64" t="s">
        <v>502</v>
      </c>
      <c r="G25" s="64" t="s">
        <v>588</v>
      </c>
      <c r="H25" s="64"/>
      <c r="I25" s="64"/>
      <c r="J25" s="76" t="s">
        <v>597</v>
      </c>
      <c r="K25" s="77" t="s">
        <v>598</v>
      </c>
    </row>
    <row r="26" spans="1:16" ht="97.5" customHeight="1">
      <c r="A26" s="67" t="s">
        <v>599</v>
      </c>
      <c r="B26" s="67" t="s">
        <v>499</v>
      </c>
      <c r="C26" s="68" t="s">
        <v>600</v>
      </c>
      <c r="D26" s="67" t="s">
        <v>14</v>
      </c>
      <c r="E26" s="69" t="s">
        <v>601</v>
      </c>
      <c r="F26" s="67" t="s">
        <v>502</v>
      </c>
      <c r="G26" s="69" t="s">
        <v>602</v>
      </c>
      <c r="H26" s="69"/>
      <c r="I26" s="69"/>
      <c r="J26" s="78" t="s">
        <v>603</v>
      </c>
      <c r="K26" s="70"/>
    </row>
    <row r="27" spans="1:16" ht="189.6" customHeight="1">
      <c r="A27" s="60" t="s">
        <v>604</v>
      </c>
      <c r="B27" s="60" t="s">
        <v>569</v>
      </c>
      <c r="C27" s="61" t="s">
        <v>605</v>
      </c>
      <c r="D27" s="60" t="s">
        <v>14</v>
      </c>
      <c r="E27" s="63" t="s">
        <v>606</v>
      </c>
      <c r="F27" s="60" t="s">
        <v>502</v>
      </c>
      <c r="G27" s="60" t="s">
        <v>607</v>
      </c>
      <c r="H27" s="60"/>
      <c r="I27" s="60"/>
      <c r="J27" s="79" t="s">
        <v>608</v>
      </c>
      <c r="K27" s="62"/>
    </row>
    <row r="28" spans="1:16" s="43" customFormat="1" ht="97.5" customHeight="1">
      <c r="A28" s="44" t="s">
        <v>609</v>
      </c>
      <c r="B28" s="44" t="s">
        <v>499</v>
      </c>
      <c r="C28" s="80" t="s">
        <v>610</v>
      </c>
      <c r="D28" s="44" t="s">
        <v>20</v>
      </c>
      <c r="E28" s="81" t="s">
        <v>611</v>
      </c>
      <c r="F28" s="44" t="s">
        <v>502</v>
      </c>
      <c r="G28" s="44" t="s">
        <v>612</v>
      </c>
      <c r="H28" s="44"/>
      <c r="I28" s="44"/>
      <c r="J28" s="82"/>
      <c r="K28" s="81" t="s">
        <v>613</v>
      </c>
    </row>
    <row r="29" spans="1:16" s="43" customFormat="1" ht="97.5" customHeight="1">
      <c r="A29" s="83" t="s">
        <v>614</v>
      </c>
      <c r="B29" s="83" t="s">
        <v>499</v>
      </c>
      <c r="C29" s="84" t="s">
        <v>615</v>
      </c>
      <c r="D29" s="83" t="s">
        <v>14</v>
      </c>
      <c r="E29" s="85" t="s">
        <v>616</v>
      </c>
      <c r="F29" s="83" t="s">
        <v>502</v>
      </c>
      <c r="G29" s="83" t="s">
        <v>617</v>
      </c>
      <c r="H29" s="83"/>
      <c r="I29" s="83"/>
      <c r="J29" s="86" t="s">
        <v>618</v>
      </c>
      <c r="K29" s="85"/>
    </row>
    <row r="30" spans="1:16" s="43" customFormat="1" ht="97.5" customHeight="1">
      <c r="A30" s="83" t="s">
        <v>614</v>
      </c>
      <c r="B30" s="83" t="s">
        <v>499</v>
      </c>
      <c r="C30" s="84" t="s">
        <v>619</v>
      </c>
      <c r="D30" s="83" t="s">
        <v>14</v>
      </c>
      <c r="E30" s="85" t="s">
        <v>620</v>
      </c>
      <c r="F30" s="83" t="s">
        <v>502</v>
      </c>
      <c r="G30" s="83" t="s">
        <v>621</v>
      </c>
      <c r="H30" s="83"/>
      <c r="I30" s="83"/>
      <c r="J30" s="86" t="s">
        <v>622</v>
      </c>
      <c r="K30" s="85"/>
    </row>
    <row r="31" spans="1:16" ht="142.5">
      <c r="A31" s="87" t="s">
        <v>623</v>
      </c>
      <c r="B31" s="87" t="s">
        <v>499</v>
      </c>
      <c r="C31" s="88" t="s">
        <v>624</v>
      </c>
      <c r="D31" s="87" t="s">
        <v>14</v>
      </c>
      <c r="E31" s="89" t="s">
        <v>625</v>
      </c>
      <c r="F31" s="87" t="s">
        <v>502</v>
      </c>
      <c r="G31" s="87" t="s">
        <v>626</v>
      </c>
      <c r="H31" s="87"/>
      <c r="I31" s="87"/>
      <c r="J31" s="90" t="s">
        <v>627</v>
      </c>
      <c r="K31" s="91"/>
    </row>
    <row r="32" spans="1:16" ht="97.5" customHeight="1">
      <c r="A32" s="47" t="s">
        <v>628</v>
      </c>
      <c r="B32" s="47" t="s">
        <v>569</v>
      </c>
      <c r="C32" s="71" t="s">
        <v>629</v>
      </c>
      <c r="D32" s="47" t="s">
        <v>14</v>
      </c>
      <c r="E32" s="50" t="s">
        <v>630</v>
      </c>
      <c r="F32" s="47" t="s">
        <v>631</v>
      </c>
      <c r="G32" s="48" t="s">
        <v>632</v>
      </c>
      <c r="H32" s="48"/>
      <c r="I32" s="48"/>
      <c r="J32" s="47" t="s">
        <v>484</v>
      </c>
      <c r="K32" s="48"/>
    </row>
    <row r="33" spans="1:11" s="43" customFormat="1" ht="97.5" customHeight="1">
      <c r="A33" s="44" t="s">
        <v>633</v>
      </c>
      <c r="B33" s="44" t="s">
        <v>569</v>
      </c>
      <c r="C33" s="80" t="s">
        <v>634</v>
      </c>
      <c r="D33" s="92" t="s">
        <v>20</v>
      </c>
      <c r="E33" s="80" t="s">
        <v>635</v>
      </c>
      <c r="F33" s="44" t="s">
        <v>502</v>
      </c>
      <c r="G33" s="44" t="s">
        <v>636</v>
      </c>
      <c r="H33" s="44"/>
      <c r="I33" s="44"/>
      <c r="J33" s="44" t="s">
        <v>637</v>
      </c>
      <c r="K33" s="81" t="s">
        <v>638</v>
      </c>
    </row>
    <row r="34" spans="1:11" s="43" customFormat="1" ht="97.5" customHeight="1">
      <c r="A34" s="93" t="s">
        <v>639</v>
      </c>
      <c r="B34" s="93" t="s">
        <v>569</v>
      </c>
      <c r="C34" s="56" t="s">
        <v>640</v>
      </c>
      <c r="D34" s="92" t="s">
        <v>20</v>
      </c>
      <c r="E34" s="56" t="s">
        <v>641</v>
      </c>
      <c r="F34" s="93" t="s">
        <v>502</v>
      </c>
      <c r="G34" s="93" t="s">
        <v>642</v>
      </c>
      <c r="H34" s="93"/>
      <c r="I34" s="93"/>
      <c r="J34" s="93" t="s">
        <v>637</v>
      </c>
      <c r="K34" s="56" t="s">
        <v>643</v>
      </c>
    </row>
    <row r="35" spans="1:11" s="43" customFormat="1" ht="97.5" customHeight="1">
      <c r="A35" s="94" t="s">
        <v>644</v>
      </c>
      <c r="B35" s="94" t="s">
        <v>569</v>
      </c>
      <c r="C35" s="65" t="s">
        <v>645</v>
      </c>
      <c r="D35" s="92" t="s">
        <v>20</v>
      </c>
      <c r="E35" s="65" t="s">
        <v>646</v>
      </c>
      <c r="F35" s="94" t="s">
        <v>502</v>
      </c>
      <c r="G35" s="94" t="s">
        <v>647</v>
      </c>
      <c r="H35" s="94"/>
      <c r="I35" s="94"/>
      <c r="J35" s="94" t="s">
        <v>637</v>
      </c>
      <c r="K35" s="65" t="s">
        <v>648</v>
      </c>
    </row>
    <row r="36" spans="1:11" ht="39" customHeight="1">
      <c r="B36" s="95"/>
      <c r="C36" s="95"/>
      <c r="D36" s="95"/>
      <c r="E36" s="95"/>
      <c r="F36" s="95"/>
      <c r="G36" s="95"/>
      <c r="H36" s="95"/>
      <c r="I36" s="95"/>
      <c r="J36" s="95"/>
      <c r="K36" s="96"/>
    </row>
    <row r="37" spans="1:11" ht="39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8"/>
    </row>
    <row r="38" spans="1:11" ht="39" customHeight="1">
      <c r="B38" s="95"/>
      <c r="C38" s="95"/>
      <c r="D38" s="95"/>
      <c r="E38" s="95"/>
      <c r="F38" s="95"/>
      <c r="G38" s="95"/>
      <c r="H38" s="95"/>
      <c r="I38" s="95"/>
      <c r="J38" s="95"/>
      <c r="K38" s="96"/>
    </row>
    <row r="39" spans="1:11" ht="39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8"/>
    </row>
    <row r="40" spans="1:11" ht="39" customHeight="1">
      <c r="B40" s="95"/>
      <c r="C40" s="95"/>
      <c r="D40" s="95"/>
      <c r="E40" s="95"/>
      <c r="F40" s="95"/>
      <c r="G40" s="95"/>
      <c r="H40" s="95"/>
      <c r="I40" s="95"/>
      <c r="J40" s="95"/>
      <c r="K40" s="96"/>
    </row>
    <row r="41" spans="1:11" ht="39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8"/>
    </row>
    <row r="42" spans="1:11" ht="39" customHeight="1">
      <c r="B42" s="95"/>
      <c r="C42" s="95"/>
      <c r="D42" s="95"/>
      <c r="E42" s="95"/>
      <c r="F42" s="95"/>
      <c r="G42" s="95"/>
      <c r="H42" s="95"/>
      <c r="I42" s="95"/>
      <c r="J42" s="95"/>
      <c r="K42" s="96"/>
    </row>
    <row r="43" spans="1:11" ht="39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8"/>
    </row>
    <row r="44" spans="1:11" ht="39" customHeight="1">
      <c r="B44" s="95"/>
      <c r="C44" s="95"/>
      <c r="D44" s="95"/>
      <c r="E44" s="95"/>
      <c r="F44" s="95"/>
      <c r="G44" s="95"/>
      <c r="H44" s="95"/>
      <c r="I44" s="95"/>
      <c r="J44" s="95"/>
      <c r="K44" s="96"/>
    </row>
    <row r="45" spans="1:11" ht="39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1" ht="39" customHeight="1">
      <c r="B46" s="95"/>
      <c r="C46" s="95"/>
      <c r="D46" s="95"/>
      <c r="E46" s="95"/>
      <c r="F46" s="95"/>
      <c r="G46" s="95"/>
      <c r="H46" s="95"/>
      <c r="I46" s="95"/>
      <c r="J46" s="95"/>
      <c r="K46" s="96"/>
    </row>
    <row r="47" spans="1:11" ht="39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8"/>
    </row>
    <row r="48" spans="1:11" ht="39" customHeight="1">
      <c r="B48" s="95"/>
      <c r="C48" s="95"/>
      <c r="D48" s="95"/>
      <c r="E48" s="95"/>
      <c r="F48" s="95"/>
      <c r="G48" s="95"/>
      <c r="H48" s="95"/>
      <c r="I48" s="95"/>
      <c r="J48" s="95"/>
      <c r="K48" s="96"/>
    </row>
    <row r="49" spans="1:11" ht="39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8"/>
    </row>
    <row r="50" spans="1:11" ht="39" customHeight="1">
      <c r="B50" s="95"/>
      <c r="C50" s="95"/>
      <c r="D50" s="95"/>
      <c r="E50" s="95"/>
      <c r="F50" s="95"/>
      <c r="G50" s="95"/>
      <c r="H50" s="95"/>
      <c r="I50" s="95"/>
      <c r="J50" s="95"/>
      <c r="K50" s="96"/>
    </row>
    <row r="51" spans="1:11" ht="39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8"/>
    </row>
    <row r="52" spans="1:11" ht="39" customHeight="1">
      <c r="B52" s="95"/>
      <c r="C52" s="95"/>
      <c r="D52" s="95"/>
      <c r="E52" s="95"/>
      <c r="F52" s="95"/>
      <c r="G52" s="95"/>
      <c r="H52" s="95"/>
      <c r="I52" s="95"/>
      <c r="J52" s="95"/>
      <c r="K52" s="96"/>
    </row>
    <row r="53" spans="1:11" ht="39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8"/>
    </row>
    <row r="54" spans="1:11" ht="39" customHeight="1">
      <c r="B54" s="95"/>
      <c r="C54" s="95"/>
      <c r="D54" s="95"/>
      <c r="E54" s="95"/>
      <c r="F54" s="95"/>
      <c r="G54" s="95"/>
      <c r="H54" s="95"/>
      <c r="I54" s="95"/>
      <c r="J54" s="95"/>
      <c r="K54" s="96"/>
    </row>
    <row r="55" spans="1:11" ht="39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8"/>
    </row>
    <row r="56" spans="1:11" ht="39" customHeight="1">
      <c r="B56" s="95"/>
      <c r="C56" s="95"/>
      <c r="D56" s="95"/>
      <c r="E56" s="95"/>
      <c r="F56" s="95"/>
      <c r="G56" s="95"/>
      <c r="H56" s="95"/>
      <c r="I56" s="95"/>
      <c r="J56" s="95"/>
      <c r="K56" s="96"/>
    </row>
    <row r="57" spans="1:11" ht="39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8"/>
    </row>
    <row r="58" spans="1:11" ht="39" customHeight="1">
      <c r="B58" s="95"/>
      <c r="C58" s="95"/>
      <c r="D58" s="95"/>
      <c r="E58" s="95"/>
      <c r="F58" s="95"/>
      <c r="G58" s="95"/>
      <c r="H58" s="95"/>
      <c r="I58" s="95"/>
      <c r="J58" s="95"/>
      <c r="K58" s="96"/>
    </row>
    <row r="59" spans="1:11" ht="39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8"/>
    </row>
    <row r="60" spans="1:11" ht="39" customHeight="1">
      <c r="B60" s="95"/>
      <c r="C60" s="95"/>
      <c r="D60" s="95"/>
      <c r="E60" s="95"/>
      <c r="F60" s="95"/>
      <c r="G60" s="95"/>
      <c r="H60" s="95"/>
      <c r="I60" s="95"/>
      <c r="J60" s="95"/>
      <c r="K60" s="96"/>
    </row>
    <row r="61" spans="1:11" ht="39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8"/>
    </row>
    <row r="62" spans="1:11" ht="39" customHeight="1">
      <c r="B62" s="95"/>
      <c r="C62" s="95"/>
      <c r="D62" s="95"/>
      <c r="E62" s="95"/>
      <c r="F62" s="95"/>
      <c r="G62" s="95"/>
      <c r="H62" s="95"/>
      <c r="I62" s="95"/>
      <c r="J62" s="95"/>
      <c r="K62" s="96"/>
    </row>
    <row r="63" spans="1:11" ht="39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8"/>
    </row>
    <row r="64" spans="1:11" ht="39" customHeight="1">
      <c r="B64" s="95"/>
      <c r="C64" s="95"/>
      <c r="D64" s="95"/>
      <c r="E64" s="95"/>
      <c r="F64" s="95"/>
      <c r="G64" s="95"/>
      <c r="H64" s="95"/>
      <c r="I64" s="95"/>
      <c r="J64" s="95"/>
      <c r="K64" s="96"/>
    </row>
    <row r="65" spans="1:11" ht="39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8"/>
    </row>
    <row r="66" spans="1:11" ht="39" customHeight="1">
      <c r="B66" s="95"/>
      <c r="C66" s="95"/>
      <c r="D66" s="95"/>
      <c r="E66" s="95"/>
      <c r="F66" s="95"/>
      <c r="G66" s="95"/>
      <c r="H66" s="95"/>
      <c r="I66" s="95"/>
      <c r="J66" s="95"/>
      <c r="K66" s="96"/>
    </row>
    <row r="67" spans="1:11" ht="39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8"/>
    </row>
    <row r="68" spans="1:11" ht="39" customHeight="1">
      <c r="B68" s="95"/>
      <c r="C68" s="95"/>
      <c r="D68" s="95"/>
      <c r="E68" s="95"/>
      <c r="F68" s="95"/>
      <c r="G68" s="95"/>
      <c r="H68" s="95"/>
      <c r="I68" s="95"/>
      <c r="J68" s="95"/>
      <c r="K68" s="96"/>
    </row>
    <row r="69" spans="1:11" ht="39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8"/>
    </row>
    <row r="70" spans="1:11" ht="39" customHeight="1">
      <c r="B70" s="95"/>
      <c r="C70" s="95"/>
      <c r="D70" s="95"/>
      <c r="E70" s="95"/>
      <c r="F70" s="95"/>
      <c r="G70" s="95"/>
      <c r="H70" s="95"/>
      <c r="I70" s="95"/>
      <c r="J70" s="95"/>
      <c r="K70" s="96"/>
    </row>
    <row r="71" spans="1:11" ht="39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8"/>
    </row>
    <row r="72" spans="1:11" ht="39" customHeight="1">
      <c r="B72" s="95"/>
      <c r="C72" s="95"/>
      <c r="D72" s="95"/>
      <c r="E72" s="95"/>
      <c r="F72" s="95"/>
      <c r="G72" s="95"/>
      <c r="H72" s="95"/>
      <c r="I72" s="95"/>
      <c r="J72" s="95"/>
      <c r="K72" s="96"/>
    </row>
    <row r="73" spans="1:11" ht="39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8"/>
    </row>
    <row r="74" spans="1:11" ht="39" customHeight="1">
      <c r="B74" s="95"/>
      <c r="C74" s="95"/>
      <c r="D74" s="95"/>
      <c r="E74" s="95"/>
      <c r="F74" s="95"/>
      <c r="G74" s="95"/>
      <c r="H74" s="95"/>
      <c r="I74" s="95"/>
      <c r="J74" s="95"/>
      <c r="K74" s="96"/>
    </row>
    <row r="75" spans="1:11" ht="39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8"/>
    </row>
    <row r="76" spans="1:11" ht="39" customHeight="1">
      <c r="B76" s="95"/>
      <c r="C76" s="95"/>
      <c r="D76" s="95"/>
      <c r="E76" s="95"/>
      <c r="F76" s="95"/>
      <c r="G76" s="95"/>
      <c r="H76" s="95"/>
      <c r="I76" s="95"/>
      <c r="J76" s="95"/>
      <c r="K76" s="96"/>
    </row>
    <row r="77" spans="1:11" ht="39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8"/>
    </row>
    <row r="78" spans="1:11" ht="39" customHeight="1">
      <c r="B78" s="95"/>
      <c r="C78" s="95"/>
      <c r="D78" s="95"/>
      <c r="E78" s="95"/>
      <c r="F78" s="95"/>
      <c r="G78" s="95"/>
      <c r="H78" s="95"/>
      <c r="I78" s="95"/>
      <c r="J78" s="95"/>
      <c r="K78" s="96"/>
    </row>
    <row r="79" spans="1:11" ht="39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8"/>
    </row>
    <row r="80" spans="1:11" ht="39" customHeight="1">
      <c r="B80" s="95"/>
      <c r="C80" s="95"/>
      <c r="D80" s="95"/>
      <c r="E80" s="95"/>
      <c r="F80" s="95"/>
      <c r="G80" s="95"/>
      <c r="H80" s="95"/>
      <c r="I80" s="95"/>
      <c r="J80" s="95"/>
      <c r="K80" s="96"/>
    </row>
    <row r="81" spans="1:11" ht="39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8"/>
    </row>
    <row r="82" spans="1:11" ht="39" customHeight="1">
      <c r="B82" s="95"/>
      <c r="C82" s="95"/>
      <c r="D82" s="95"/>
      <c r="E82" s="95"/>
      <c r="F82" s="95"/>
      <c r="G82" s="95"/>
      <c r="H82" s="95"/>
      <c r="I82" s="95"/>
      <c r="J82" s="95"/>
      <c r="K82" s="96"/>
    </row>
    <row r="83" spans="1:11" ht="39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8"/>
    </row>
    <row r="84" spans="1:11" ht="39" customHeight="1">
      <c r="B84" s="95"/>
      <c r="C84" s="95"/>
      <c r="D84" s="95"/>
      <c r="E84" s="95"/>
      <c r="F84" s="95"/>
      <c r="G84" s="95"/>
      <c r="H84" s="95"/>
      <c r="I84" s="95"/>
      <c r="J84" s="95"/>
      <c r="K84" s="96"/>
    </row>
    <row r="85" spans="1:11" ht="39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8"/>
    </row>
    <row r="86" spans="1:11" ht="39" customHeight="1">
      <c r="B86" s="95"/>
      <c r="C86" s="95"/>
      <c r="D86" s="95"/>
      <c r="E86" s="95"/>
      <c r="F86" s="95"/>
      <c r="G86" s="95"/>
      <c r="H86" s="95"/>
      <c r="I86" s="95"/>
      <c r="J86" s="95"/>
      <c r="K86" s="96"/>
    </row>
    <row r="87" spans="1:11" ht="39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8"/>
    </row>
    <row r="88" spans="1:11" ht="39" customHeight="1">
      <c r="B88" s="95"/>
      <c r="C88" s="95"/>
      <c r="D88" s="95"/>
      <c r="E88" s="95"/>
      <c r="F88" s="95"/>
      <c r="G88" s="95"/>
      <c r="H88" s="95"/>
      <c r="I88" s="95"/>
      <c r="J88" s="95"/>
      <c r="K88" s="96"/>
    </row>
    <row r="89" spans="1:11" ht="39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8"/>
    </row>
    <row r="90" spans="1:11" ht="39" customHeight="1">
      <c r="B90" s="95"/>
      <c r="C90" s="95"/>
      <c r="D90" s="95"/>
      <c r="E90" s="95"/>
      <c r="F90" s="95"/>
      <c r="G90" s="95"/>
      <c r="H90" s="95"/>
      <c r="I90" s="95"/>
      <c r="J90" s="95"/>
      <c r="K90" s="96"/>
    </row>
    <row r="91" spans="1:11" ht="39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8"/>
    </row>
    <row r="92" spans="1:11" ht="39" customHeight="1">
      <c r="B92" s="95"/>
      <c r="C92" s="95"/>
      <c r="D92" s="95"/>
      <c r="E92" s="95"/>
      <c r="F92" s="95"/>
      <c r="G92" s="95"/>
      <c r="H92" s="95"/>
      <c r="I92" s="95"/>
      <c r="J92" s="95"/>
      <c r="K92" s="96"/>
    </row>
    <row r="93" spans="1:11" ht="39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8"/>
    </row>
    <row r="94" spans="1:11" ht="39" customHeight="1">
      <c r="B94" s="95"/>
      <c r="C94" s="95"/>
      <c r="D94" s="95"/>
      <c r="E94" s="95"/>
      <c r="F94" s="95"/>
      <c r="G94" s="95"/>
      <c r="H94" s="95"/>
      <c r="I94" s="95"/>
      <c r="J94" s="95"/>
      <c r="K94" s="96"/>
    </row>
    <row r="95" spans="1:11" ht="39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8"/>
    </row>
    <row r="96" spans="1:11" ht="39" customHeight="1">
      <c r="B96" s="95"/>
      <c r="C96" s="95"/>
      <c r="D96" s="95"/>
      <c r="E96" s="95"/>
      <c r="F96" s="95"/>
      <c r="G96" s="95"/>
      <c r="H96" s="95"/>
      <c r="I96" s="95"/>
      <c r="J96" s="95"/>
      <c r="K96" s="96"/>
    </row>
    <row r="97" spans="1:11" ht="39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8"/>
    </row>
    <row r="98" spans="1:11" ht="39" customHeight="1">
      <c r="B98" s="95"/>
      <c r="C98" s="95"/>
      <c r="D98" s="95"/>
      <c r="E98" s="95"/>
      <c r="F98" s="95"/>
      <c r="G98" s="95"/>
      <c r="H98" s="95"/>
      <c r="I98" s="95"/>
      <c r="J98" s="95"/>
      <c r="K98" s="96"/>
    </row>
    <row r="99" spans="1:11" ht="39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8"/>
    </row>
    <row r="100" spans="1:11" ht="39" customHeight="1">
      <c r="B100" s="95"/>
      <c r="C100" s="95"/>
      <c r="D100" s="95"/>
      <c r="E100" s="95"/>
      <c r="F100" s="95"/>
      <c r="G100" s="95"/>
      <c r="H100" s="95"/>
      <c r="I100" s="95"/>
      <c r="J100" s="95"/>
      <c r="K100" s="96"/>
    </row>
    <row r="101" spans="1:11" ht="39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8"/>
    </row>
    <row r="102" spans="1:11" ht="39" customHeight="1">
      <c r="B102" s="95"/>
      <c r="C102" s="95"/>
      <c r="D102" s="95"/>
      <c r="E102" s="95"/>
      <c r="F102" s="95"/>
      <c r="G102" s="95"/>
      <c r="H102" s="95"/>
      <c r="I102" s="95"/>
      <c r="J102" s="95"/>
      <c r="K102" s="96"/>
    </row>
    <row r="103" spans="1:11" ht="39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8"/>
    </row>
    <row r="104" spans="1:11" ht="39" customHeight="1">
      <c r="B104" s="95"/>
      <c r="C104" s="95"/>
      <c r="D104" s="95"/>
      <c r="E104" s="95"/>
      <c r="F104" s="95"/>
      <c r="G104" s="95"/>
      <c r="H104" s="95"/>
      <c r="I104" s="95"/>
      <c r="J104" s="95"/>
      <c r="K104" s="96"/>
    </row>
    <row r="105" spans="1:11" ht="39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8"/>
    </row>
    <row r="106" spans="1:11" ht="39" customHeight="1">
      <c r="B106" s="95"/>
      <c r="C106" s="95"/>
      <c r="D106" s="95"/>
      <c r="E106" s="95"/>
      <c r="F106" s="95"/>
      <c r="G106" s="95"/>
      <c r="H106" s="95"/>
      <c r="I106" s="95"/>
      <c r="J106" s="95"/>
      <c r="K106" s="96"/>
    </row>
    <row r="107" spans="1:11" ht="39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8"/>
    </row>
    <row r="108" spans="1:11" ht="39" customHeight="1">
      <c r="B108" s="95"/>
      <c r="C108" s="95"/>
      <c r="D108" s="95"/>
      <c r="E108" s="95"/>
      <c r="F108" s="95"/>
      <c r="G108" s="95"/>
      <c r="H108" s="95"/>
      <c r="I108" s="95"/>
      <c r="J108" s="95"/>
      <c r="K108" s="96"/>
    </row>
    <row r="109" spans="1:11" ht="39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8"/>
    </row>
    <row r="110" spans="1:11" ht="39" customHeight="1">
      <c r="B110" s="95"/>
      <c r="C110" s="95"/>
      <c r="D110" s="95"/>
      <c r="E110" s="95"/>
      <c r="F110" s="95"/>
      <c r="G110" s="95"/>
      <c r="H110" s="95"/>
      <c r="I110" s="95"/>
      <c r="J110" s="95"/>
      <c r="K110" s="96"/>
    </row>
    <row r="111" spans="1:11" ht="39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8"/>
    </row>
    <row r="112" spans="1:11" ht="39" customHeight="1">
      <c r="B112" s="95"/>
      <c r="C112" s="95"/>
      <c r="D112" s="95"/>
      <c r="E112" s="95"/>
      <c r="F112" s="95"/>
      <c r="G112" s="95"/>
      <c r="H112" s="95"/>
      <c r="I112" s="95"/>
      <c r="J112" s="95"/>
      <c r="K112" s="96"/>
    </row>
    <row r="113" spans="1:11" ht="39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8"/>
    </row>
    <row r="114" spans="1:11" ht="39" customHeight="1">
      <c r="B114" s="95"/>
      <c r="C114" s="95"/>
      <c r="D114" s="95"/>
      <c r="E114" s="95"/>
      <c r="F114" s="95"/>
      <c r="G114" s="95"/>
      <c r="H114" s="95"/>
      <c r="I114" s="95"/>
      <c r="J114" s="95"/>
      <c r="K114" s="96"/>
    </row>
    <row r="115" spans="1:11" ht="39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8"/>
    </row>
    <row r="116" spans="1:11" ht="39" customHeight="1">
      <c r="B116" s="95"/>
      <c r="C116" s="95"/>
      <c r="D116" s="95"/>
      <c r="E116" s="95"/>
      <c r="F116" s="95"/>
      <c r="G116" s="95"/>
      <c r="H116" s="95"/>
      <c r="I116" s="95"/>
      <c r="J116" s="95"/>
      <c r="K116" s="96"/>
    </row>
    <row r="117" spans="1:11" ht="39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8"/>
    </row>
    <row r="118" spans="1:11" ht="39" customHeight="1">
      <c r="B118" s="95"/>
      <c r="C118" s="95"/>
      <c r="D118" s="95"/>
      <c r="E118" s="95"/>
      <c r="F118" s="95"/>
      <c r="G118" s="95"/>
      <c r="H118" s="95"/>
      <c r="I118" s="95"/>
      <c r="J118" s="95"/>
      <c r="K118" s="96"/>
    </row>
    <row r="119" spans="1:11" ht="39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8"/>
    </row>
    <row r="120" spans="1:11" ht="39" customHeight="1">
      <c r="B120" s="95"/>
      <c r="C120" s="95"/>
      <c r="D120" s="95"/>
      <c r="E120" s="95"/>
      <c r="F120" s="95"/>
      <c r="G120" s="95"/>
      <c r="H120" s="95"/>
      <c r="I120" s="95"/>
      <c r="J120" s="95"/>
      <c r="K120" s="96"/>
    </row>
    <row r="121" spans="1:11" ht="39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8"/>
    </row>
    <row r="122" spans="1:11" ht="39" customHeight="1">
      <c r="B122" s="95"/>
      <c r="C122" s="95"/>
      <c r="D122" s="95"/>
      <c r="E122" s="95"/>
      <c r="F122" s="95"/>
      <c r="G122" s="95"/>
      <c r="H122" s="95"/>
      <c r="I122" s="95"/>
      <c r="J122" s="95"/>
      <c r="K122" s="96"/>
    </row>
    <row r="123" spans="1:11" ht="39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8"/>
    </row>
    <row r="124" spans="1:11" ht="39" customHeight="1">
      <c r="B124" s="95"/>
      <c r="C124" s="95"/>
      <c r="D124" s="95"/>
      <c r="E124" s="95"/>
      <c r="F124" s="95"/>
      <c r="G124" s="95"/>
      <c r="H124" s="95"/>
      <c r="I124" s="95"/>
      <c r="J124" s="95"/>
      <c r="K124" s="96"/>
    </row>
    <row r="125" spans="1:11" ht="39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8"/>
    </row>
    <row r="126" spans="1:11" ht="39" customHeight="1">
      <c r="B126" s="95"/>
      <c r="C126" s="95"/>
      <c r="D126" s="95"/>
      <c r="E126" s="95"/>
      <c r="F126" s="95"/>
      <c r="G126" s="95"/>
      <c r="H126" s="95"/>
      <c r="I126" s="95"/>
      <c r="J126" s="95"/>
      <c r="K126" s="96"/>
    </row>
    <row r="127" spans="1:11" ht="39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8"/>
    </row>
    <row r="128" spans="1:11" ht="39" customHeight="1">
      <c r="B128" s="95"/>
      <c r="C128" s="95"/>
      <c r="D128" s="95"/>
      <c r="E128" s="95"/>
      <c r="F128" s="95"/>
      <c r="G128" s="95"/>
      <c r="H128" s="95"/>
      <c r="I128" s="95"/>
      <c r="J128" s="95"/>
      <c r="K128" s="96"/>
    </row>
    <row r="129" spans="1:11" ht="39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8"/>
    </row>
    <row r="130" spans="1:11" ht="42.95" customHeight="1">
      <c r="B130" s="95"/>
      <c r="C130" s="95"/>
      <c r="D130" s="95"/>
      <c r="E130" s="95"/>
      <c r="F130" s="95"/>
      <c r="G130" s="95"/>
      <c r="H130" s="95"/>
      <c r="I130" s="95"/>
      <c r="J130" s="95"/>
      <c r="K130" s="96"/>
    </row>
    <row r="131" spans="1:11" ht="42.95" customHeight="1">
      <c r="B131" s="95"/>
      <c r="C131" s="95"/>
      <c r="D131" s="95"/>
      <c r="E131" s="95"/>
      <c r="F131" s="95"/>
      <c r="G131" s="95"/>
      <c r="H131" s="95"/>
      <c r="I131" s="95"/>
      <c r="J131" s="95"/>
      <c r="K131" s="96"/>
    </row>
    <row r="132" spans="1:11" ht="42.95" customHeight="1">
      <c r="B132" s="95"/>
      <c r="C132" s="95"/>
      <c r="D132" s="95"/>
      <c r="E132" s="95"/>
      <c r="F132" s="95"/>
      <c r="G132" s="95"/>
      <c r="H132" s="95"/>
      <c r="I132" s="95"/>
      <c r="J132" s="95"/>
      <c r="K132" s="96"/>
    </row>
    <row r="133" spans="1:11" ht="42.95" customHeight="1">
      <c r="B133" s="95"/>
      <c r="C133" s="95"/>
      <c r="D133" s="95"/>
      <c r="E133" s="95"/>
      <c r="F133" s="95"/>
      <c r="G133" s="95"/>
      <c r="H133" s="95"/>
      <c r="I133" s="95"/>
      <c r="J133" s="95"/>
      <c r="K133" s="96"/>
    </row>
    <row r="134" spans="1:11" ht="42.95" customHeight="1">
      <c r="B134" s="95"/>
      <c r="C134" s="95"/>
      <c r="D134" s="95"/>
      <c r="E134" s="95"/>
      <c r="F134" s="95"/>
      <c r="G134" s="95"/>
      <c r="H134" s="95"/>
      <c r="I134" s="95"/>
      <c r="J134" s="95"/>
      <c r="K134" s="96"/>
    </row>
    <row r="135" spans="1:11" ht="42.95" customHeight="1">
      <c r="B135" s="95"/>
      <c r="C135" s="95"/>
      <c r="D135" s="95"/>
      <c r="E135" s="95"/>
      <c r="F135" s="95"/>
      <c r="G135" s="95"/>
      <c r="H135" s="95"/>
      <c r="I135" s="95"/>
      <c r="J135" s="95"/>
      <c r="K135" s="96"/>
    </row>
    <row r="136" spans="1:11" ht="42.95" customHeight="1">
      <c r="B136" s="95"/>
      <c r="C136" s="95"/>
      <c r="D136" s="95"/>
      <c r="E136" s="95"/>
      <c r="F136" s="95"/>
      <c r="G136" s="95"/>
      <c r="H136" s="95"/>
      <c r="I136" s="95"/>
      <c r="J136" s="95"/>
      <c r="K136" s="96"/>
    </row>
    <row r="137" spans="1:11" ht="42.95" customHeight="1">
      <c r="B137" s="95"/>
      <c r="C137" s="95"/>
      <c r="D137" s="95"/>
      <c r="E137" s="95"/>
      <c r="F137" s="95"/>
      <c r="G137" s="95"/>
      <c r="H137" s="95"/>
      <c r="I137" s="95"/>
      <c r="J137" s="95"/>
      <c r="K137" s="96"/>
    </row>
    <row r="138" spans="1:11" ht="42.95" customHeight="1">
      <c r="B138" s="95"/>
      <c r="C138" s="95"/>
      <c r="D138" s="95"/>
      <c r="E138" s="95"/>
      <c r="F138" s="95"/>
      <c r="G138" s="95"/>
      <c r="H138" s="95"/>
      <c r="I138" s="95"/>
      <c r="J138" s="95"/>
      <c r="K138" s="96"/>
    </row>
    <row r="139" spans="1:11" ht="42.95" customHeight="1">
      <c r="B139" s="95"/>
      <c r="C139" s="95"/>
      <c r="D139" s="95"/>
      <c r="E139" s="95"/>
      <c r="F139" s="95"/>
      <c r="G139" s="95"/>
      <c r="H139" s="95"/>
      <c r="I139" s="95"/>
      <c r="J139" s="95"/>
      <c r="K139" s="96"/>
    </row>
    <row r="140" spans="1:11" ht="42.95" customHeight="1">
      <c r="B140" s="95"/>
      <c r="C140" s="95"/>
      <c r="D140" s="95"/>
      <c r="E140" s="95"/>
      <c r="F140" s="95"/>
      <c r="G140" s="95"/>
      <c r="H140" s="95"/>
      <c r="I140" s="95"/>
      <c r="J140" s="95"/>
      <c r="K140" s="96"/>
    </row>
    <row r="141" spans="1:11" ht="42.95" customHeight="1">
      <c r="B141" s="95"/>
      <c r="C141" s="95"/>
      <c r="D141" s="95"/>
      <c r="E141" s="95"/>
      <c r="F141" s="95"/>
      <c r="G141" s="95"/>
      <c r="H141" s="95"/>
      <c r="I141" s="95"/>
      <c r="J141" s="95"/>
      <c r="K141" s="96"/>
    </row>
    <row r="142" spans="1:11" ht="42.95" customHeight="1">
      <c r="B142" s="95"/>
      <c r="C142" s="95"/>
      <c r="D142" s="95"/>
      <c r="E142" s="95"/>
      <c r="F142" s="95"/>
      <c r="G142" s="95"/>
      <c r="H142" s="95"/>
      <c r="I142" s="95"/>
      <c r="J142" s="95"/>
      <c r="K142" s="96"/>
    </row>
    <row r="143" spans="1:11" ht="42.95" customHeight="1">
      <c r="B143" s="95"/>
      <c r="C143" s="95"/>
      <c r="D143" s="95"/>
      <c r="E143" s="95"/>
      <c r="F143" s="95"/>
      <c r="G143" s="95"/>
      <c r="H143" s="95"/>
      <c r="I143" s="95"/>
      <c r="J143" s="95"/>
      <c r="K143" s="96"/>
    </row>
    <row r="144" spans="1:11" ht="42.95" customHeight="1">
      <c r="B144" s="95"/>
      <c r="C144" s="95"/>
      <c r="D144" s="95"/>
      <c r="E144" s="95"/>
      <c r="F144" s="95"/>
      <c r="G144" s="95"/>
      <c r="H144" s="95"/>
      <c r="I144" s="95"/>
      <c r="J144" s="95"/>
      <c r="K144" s="96"/>
    </row>
    <row r="145" spans="2:11" ht="42.95" customHeight="1">
      <c r="B145" s="95"/>
      <c r="C145" s="95"/>
      <c r="D145" s="95"/>
      <c r="E145" s="95"/>
      <c r="F145" s="95"/>
      <c r="G145" s="95"/>
      <c r="H145" s="95"/>
      <c r="I145" s="95"/>
      <c r="J145" s="95"/>
      <c r="K145" s="96"/>
    </row>
    <row r="146" spans="2:11" ht="42.95" customHeight="1">
      <c r="B146" s="95"/>
      <c r="C146" s="95"/>
      <c r="D146" s="95"/>
      <c r="E146" s="95"/>
      <c r="F146" s="95"/>
      <c r="G146" s="95"/>
      <c r="H146" s="95"/>
      <c r="I146" s="95"/>
      <c r="J146" s="95"/>
      <c r="K146" s="96"/>
    </row>
    <row r="147" spans="2:11" ht="42.95" customHeight="1">
      <c r="B147" s="95"/>
      <c r="C147" s="95"/>
      <c r="D147" s="95"/>
      <c r="E147" s="95"/>
      <c r="F147" s="95"/>
      <c r="G147" s="95"/>
      <c r="H147" s="95"/>
      <c r="I147" s="95"/>
      <c r="J147" s="95"/>
      <c r="K147" s="96"/>
    </row>
    <row r="148" spans="2:11" ht="42.95" customHeight="1">
      <c r="B148" s="95"/>
      <c r="C148" s="95"/>
      <c r="D148" s="95"/>
      <c r="E148" s="95"/>
      <c r="F148" s="95"/>
      <c r="G148" s="95"/>
      <c r="H148" s="95"/>
      <c r="I148" s="95"/>
      <c r="J148" s="95"/>
      <c r="K148" s="96"/>
    </row>
    <row r="149" spans="2:11" ht="42.95" customHeight="1">
      <c r="B149" s="95"/>
      <c r="C149" s="95"/>
      <c r="D149" s="95"/>
      <c r="E149" s="95"/>
      <c r="F149" s="95"/>
      <c r="G149" s="95"/>
      <c r="H149" s="95"/>
      <c r="I149" s="95"/>
      <c r="J149" s="95"/>
      <c r="K149" s="96"/>
    </row>
    <row r="150" spans="2:11" ht="42.95" customHeight="1">
      <c r="B150" s="95"/>
      <c r="C150" s="95"/>
      <c r="D150" s="95"/>
      <c r="E150" s="95"/>
      <c r="F150" s="95"/>
      <c r="G150" s="95"/>
      <c r="H150" s="95"/>
      <c r="I150" s="95"/>
      <c r="J150" s="95"/>
      <c r="K150" s="96"/>
    </row>
    <row r="151" spans="2:11" ht="42.95" customHeight="1">
      <c r="B151" s="95"/>
      <c r="C151" s="95"/>
      <c r="D151" s="95"/>
      <c r="E151" s="95"/>
      <c r="F151" s="95"/>
      <c r="G151" s="95"/>
      <c r="H151" s="95"/>
      <c r="I151" s="95"/>
      <c r="J151" s="95"/>
      <c r="K151" s="96"/>
    </row>
    <row r="152" spans="2:11" ht="42.95" customHeight="1">
      <c r="B152" s="95"/>
      <c r="C152" s="95"/>
      <c r="D152" s="95"/>
      <c r="E152" s="95"/>
      <c r="F152" s="95"/>
      <c r="G152" s="95"/>
      <c r="H152" s="95"/>
      <c r="I152" s="95"/>
      <c r="J152" s="95"/>
      <c r="K152" s="96"/>
    </row>
    <row r="153" spans="2:11" ht="42.95" customHeight="1">
      <c r="B153" s="95"/>
      <c r="C153" s="95"/>
      <c r="D153" s="95"/>
      <c r="E153" s="95"/>
      <c r="F153" s="95"/>
      <c r="G153" s="95"/>
      <c r="H153" s="95"/>
      <c r="I153" s="95"/>
      <c r="J153" s="95"/>
      <c r="K153" s="96"/>
    </row>
    <row r="154" spans="2:11" ht="42.95" customHeight="1">
      <c r="B154" s="95"/>
      <c r="C154" s="95"/>
      <c r="D154" s="95"/>
      <c r="E154" s="95"/>
      <c r="F154" s="95"/>
      <c r="G154" s="95"/>
      <c r="H154" s="95"/>
      <c r="I154" s="95"/>
      <c r="J154" s="95"/>
      <c r="K154" s="96"/>
    </row>
    <row r="155" spans="2:11" ht="42.95" customHeight="1">
      <c r="B155" s="95"/>
      <c r="C155" s="95"/>
      <c r="D155" s="95"/>
      <c r="E155" s="95"/>
      <c r="F155" s="95"/>
      <c r="G155" s="95"/>
      <c r="H155" s="95"/>
      <c r="I155" s="95"/>
      <c r="J155" s="95"/>
      <c r="K155" s="96"/>
    </row>
    <row r="156" spans="2:11" ht="42.95" customHeight="1">
      <c r="B156" s="95"/>
      <c r="C156" s="95"/>
      <c r="D156" s="95"/>
      <c r="E156" s="95"/>
      <c r="F156" s="95"/>
      <c r="G156" s="95"/>
      <c r="H156" s="95"/>
      <c r="I156" s="95"/>
      <c r="J156" s="95"/>
      <c r="K156" s="96"/>
    </row>
    <row r="157" spans="2:11" ht="42.95" customHeight="1">
      <c r="B157" s="95"/>
      <c r="C157" s="95"/>
      <c r="D157" s="95"/>
      <c r="E157" s="95"/>
      <c r="F157" s="95"/>
      <c r="G157" s="95"/>
      <c r="H157" s="95"/>
      <c r="I157" s="95"/>
      <c r="J157" s="95"/>
      <c r="K157" s="96"/>
    </row>
    <row r="158" spans="2:11" ht="42.95" customHeight="1">
      <c r="B158" s="95"/>
      <c r="C158" s="95"/>
      <c r="D158" s="95"/>
      <c r="E158" s="95"/>
      <c r="F158" s="95"/>
      <c r="G158" s="95"/>
      <c r="H158" s="95"/>
      <c r="I158" s="95"/>
      <c r="J158" s="95"/>
      <c r="K158" s="96"/>
    </row>
    <row r="159" spans="2:11" ht="42.95" customHeight="1">
      <c r="B159" s="95"/>
      <c r="C159" s="95"/>
      <c r="D159" s="95"/>
      <c r="E159" s="95"/>
      <c r="F159" s="95"/>
      <c r="G159" s="95"/>
      <c r="H159" s="95"/>
      <c r="I159" s="95"/>
      <c r="J159" s="95"/>
      <c r="K159" s="96"/>
    </row>
    <row r="160" spans="2:11" ht="42.95" customHeight="1">
      <c r="B160" s="95"/>
      <c r="C160" s="95"/>
      <c r="D160" s="95"/>
      <c r="E160" s="95"/>
      <c r="F160" s="95"/>
      <c r="G160" s="95"/>
      <c r="H160" s="95"/>
      <c r="I160" s="95"/>
      <c r="J160" s="95"/>
      <c r="K160" s="96"/>
    </row>
    <row r="161" spans="2:11" ht="42.95" customHeight="1">
      <c r="B161" s="95"/>
      <c r="C161" s="95"/>
      <c r="D161" s="95"/>
      <c r="E161" s="95"/>
      <c r="F161" s="95"/>
      <c r="G161" s="95"/>
      <c r="H161" s="95"/>
      <c r="I161" s="95"/>
      <c r="J161" s="95"/>
      <c r="K161" s="96"/>
    </row>
    <row r="162" spans="2:11" ht="42.95" customHeight="1">
      <c r="B162" s="95"/>
      <c r="C162" s="95"/>
      <c r="D162" s="95"/>
      <c r="E162" s="95"/>
      <c r="F162" s="95"/>
      <c r="G162" s="95"/>
      <c r="H162" s="95"/>
      <c r="I162" s="95"/>
      <c r="J162" s="95"/>
      <c r="K162" s="96"/>
    </row>
  </sheetData>
  <autoFilter ref="A2:J35" xr:uid="{00000000-0009-0000-0000-000003000000}"/>
  <mergeCells count="13">
    <mergeCell ref="A1:B1"/>
    <mergeCell ref="C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conditionalFormatting sqref="D4:D36">
    <cfRule type="containsText" dxfId="11" priority="149" operator="containsText" text="SIM">
      <formula>NOT(ISERROR(SEARCH("SIM",D4)))</formula>
    </cfRule>
    <cfRule type="containsText" dxfId="10" priority="150" operator="containsText" text="NÃO">
      <formula>NOT(ISERROR(SEARCH("NÃO",D4)))</formula>
    </cfRule>
  </conditionalFormatting>
  <conditionalFormatting sqref="D13:D14">
    <cfRule type="containsText" dxfId="9" priority="91" operator="containsText" text="SIM">
      <formula>NOT(ISERROR(SEARCH("SIM",D13)))</formula>
    </cfRule>
    <cfRule type="containsText" dxfId="8" priority="92" operator="containsText" text="NÃO">
      <formula>NOT(ISERROR(SEARCH("NÃO",D13)))</formula>
    </cfRule>
  </conditionalFormatting>
  <conditionalFormatting sqref="D34 D37:D162">
    <cfRule type="containsText" dxfId="7" priority="143" operator="containsText" text="SIM">
      <formula>NOT(ISERROR(SEARCH("SIM",D34)))</formula>
    </cfRule>
    <cfRule type="containsText" dxfId="6" priority="144" operator="containsText" text="NÃO">
      <formula>NOT(ISERROR(SEARCH("NÃO",D34)))</formula>
    </cfRule>
  </conditionalFormatting>
  <conditionalFormatting sqref="F5:F162">
    <cfRule type="containsText" dxfId="5" priority="45" operator="containsText" text="SIM">
      <formula>NOT(ISERROR(SEARCH("SIM",F5)))</formula>
    </cfRule>
    <cfRule type="containsText" dxfId="4" priority="46" operator="containsText" text="NÃO">
      <formula>NOT(ISERROR(SEARCH("NÃO",F5)))</formula>
    </cfRule>
  </conditionalFormatting>
  <conditionalFormatting sqref="F13:F15">
    <cfRule type="containsText" dxfId="3" priority="27" operator="containsText" text="SIM">
      <formula>NOT(ISERROR(SEARCH("SIM",F13)))</formula>
    </cfRule>
    <cfRule type="containsText" dxfId="2" priority="28" operator="containsText" text="NÃO">
      <formula>NOT(ISERROR(SEARCH("NÃO",F13)))</formula>
    </cfRule>
  </conditionalFormatting>
  <conditionalFormatting sqref="F17:F18">
    <cfRule type="containsText" dxfId="1" priority="13" operator="containsText" text="SIM">
      <formula>NOT(ISERROR(SEARCH("SIM",F17)))</formula>
    </cfRule>
    <cfRule type="containsText" dxfId="0" priority="14" operator="containsText" text="NÃO">
      <formula>NOT(ISERROR(SEARCH("NÃO",F17)))</formula>
    </cfRule>
  </conditionalFormatting>
  <pageMargins left="0.7" right="0.7" top="1.25" bottom="0.75" header="0.3" footer="0.3"/>
  <pageSetup paperSize="9" orientation="landscape" horizontalDpi="2147483648" verticalDpi="2147483648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F26734666DFF48BF1F303875D36E35" ma:contentTypeVersion="18" ma:contentTypeDescription="Crie um novo documento." ma:contentTypeScope="" ma:versionID="279724fbb12ad9e03576dd4bf00a8978">
  <xsd:schema xmlns:xsd="http://www.w3.org/2001/XMLSchema" xmlns:xs="http://www.w3.org/2001/XMLSchema" xmlns:p="http://schemas.microsoft.com/office/2006/metadata/properties" xmlns:ns2="8973947c-5b8a-4448-ae47-29fc3b922231" xmlns:ns3="f7ac0128-0ab7-4874-8a39-b5ecfb64c821" targetNamespace="http://schemas.microsoft.com/office/2006/metadata/properties" ma:root="true" ma:fieldsID="f7a6cf1da7501cd5c31c1cd817d5b61b" ns2:_="" ns3:_="">
    <xsd:import namespace="8973947c-5b8a-4448-ae47-29fc3b922231"/>
    <xsd:import namespace="f7ac0128-0ab7-4874-8a39-b5ecfb64c8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3947c-5b8a-4448-ae47-29fc3b9222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8af6be8-2c1c-41f3-8344-037dc50eeb41}" ma:internalName="TaxCatchAll" ma:showField="CatchAllData" ma:web="8973947c-5b8a-4448-ae47-29fc3b9222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c0128-0ab7-4874-8a39-b5ecfb64c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f48c7b9-4a54-4489-b805-a7458ca828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73947c-5b8a-4448-ae47-29fc3b922231" xsi:nil="true"/>
    <lcf76f155ced4ddcb4097134ff3c332f xmlns="f7ac0128-0ab7-4874-8a39-b5ecfb64c821">
      <Terms xmlns="http://schemas.microsoft.com/office/infopath/2007/PartnerControls"/>
    </lcf76f155ced4ddcb4097134ff3c332f>
    <_Flow_SignoffStatus xmlns="f7ac0128-0ab7-4874-8a39-b5ecfb64c821" xsi:nil="true"/>
  </documentManagement>
</p:properties>
</file>

<file path=customXml/itemProps1.xml><?xml version="1.0" encoding="utf-8"?>
<ds:datastoreItem xmlns:ds="http://schemas.openxmlformats.org/officeDocument/2006/customXml" ds:itemID="{BCB4C8D7-EEE4-4011-9E53-39ED33BDE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849A0E-47DB-4631-920E-5CA040182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3947c-5b8a-4448-ae47-29fc3b922231"/>
    <ds:schemaRef ds:uri="f7ac0128-0ab7-4874-8a39-b5ecfb64c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38A47D-D55E-4562-923A-1DE68F8CB7DD}">
  <ds:schemaRefs>
    <ds:schemaRef ds:uri="http://schemas.microsoft.com/office/2006/documentManagement/types"/>
    <ds:schemaRef ds:uri="http://schemas.microsoft.com/office/infopath/2007/PartnerControls"/>
    <ds:schemaRef ds:uri="8973947c-5b8a-4448-ae47-29fc3b922231"/>
    <ds:schemaRef ds:uri="http://purl.org/dc/terms/"/>
    <ds:schemaRef ds:uri="http://schemas.openxmlformats.org/package/2006/metadata/core-properties"/>
    <ds:schemaRef ds:uri="f7ac0128-0ab7-4874-8a39-b5ecfb64c821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LME</vt:lpstr>
      <vt:lpstr>LM</vt:lpstr>
      <vt:lpstr>MAPEAMENTO</vt:lpstr>
      <vt:lpstr>GERAL - SERVIÇOS SISTEMAS.</vt:lpstr>
      <vt:lpstr>GERAL - SERVIÇOS SISTEMAS</vt:lpstr>
      <vt:lpstr>LM!Area_de_impressao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Teixeira</dc:creator>
  <cp:keywords/>
  <dc:description/>
  <cp:lastModifiedBy>Dainara Jesus</cp:lastModifiedBy>
  <cp:revision>10</cp:revision>
  <cp:lastPrinted>2026-07-27T16:22:22Z</cp:lastPrinted>
  <dcterms:created xsi:type="dcterms:W3CDTF">2018-05-04T12:52:56Z</dcterms:created>
  <dcterms:modified xsi:type="dcterms:W3CDTF">2026-07-30T12:54:32Z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0x010100DBF26734666DFF48BF1F303875D36E35</vt:lpwstr>
  </property>
  <property fmtid="{D5CDD505-2E9C-101B-9397-08002B2CF9AE}" pid="3" name="MediaServiceImageTags">
    <vt:lpwstr/>
  </property>
</Properties>
</file>